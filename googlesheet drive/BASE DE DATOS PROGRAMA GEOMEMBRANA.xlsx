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A-SB PC\Desktop\"/>
    </mc:Choice>
  </mc:AlternateContent>
  <bookViews>
    <workbookView xWindow="0" yWindow="0" windowWidth="28800" windowHeight="11730" activeTab="2"/>
  </bookViews>
  <sheets>
    <sheet name="TANQUES" sheetId="1" r:id="rId1"/>
    <sheet name="UGR" sheetId="5" r:id="rId2"/>
    <sheet name="GEOMEMBRANA" sheetId="3" r:id="rId3"/>
    <sheet name="RESULTADO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6" l="1"/>
  <c r="F31" i="6"/>
  <c r="F32" i="6"/>
  <c r="F33" i="6"/>
  <c r="F29" i="6"/>
  <c r="F28" i="6"/>
  <c r="F27" i="6"/>
  <c r="F26" i="6"/>
  <c r="F25" i="6"/>
  <c r="F24" i="6"/>
  <c r="F23" i="6"/>
  <c r="F22" i="6"/>
  <c r="F21" i="6"/>
  <c r="F20" i="6"/>
  <c r="F19" i="6"/>
  <c r="F18" i="6"/>
  <c r="F16" i="6"/>
  <c r="F17" i="6"/>
  <c r="F15" i="6"/>
  <c r="F13" i="6"/>
  <c r="F12" i="6"/>
  <c r="F10" i="6"/>
  <c r="F9" i="6"/>
  <c r="F8" i="6"/>
  <c r="F7" i="6"/>
  <c r="F6" i="6"/>
  <c r="F5" i="6"/>
  <c r="F4" i="6"/>
  <c r="F3" i="6"/>
  <c r="E35" i="6"/>
  <c r="D35" i="6"/>
  <c r="C35" i="6"/>
  <c r="F28" i="5"/>
  <c r="D28" i="5" l="1"/>
  <c r="D36" i="1"/>
  <c r="F14" i="3" l="1"/>
  <c r="E14" i="3"/>
  <c r="G36" i="1"/>
  <c r="F34" i="6" s="1"/>
  <c r="F35" i="6" s="1"/>
  <c r="F36" i="1"/>
  <c r="G14" i="3" l="1"/>
  <c r="J36" i="1" l="1"/>
  <c r="K36" i="1"/>
</calcChain>
</file>

<file path=xl/sharedStrings.xml><?xml version="1.0" encoding="utf-8"?>
<sst xmlns="http://schemas.openxmlformats.org/spreadsheetml/2006/main" count="354" uniqueCount="172">
  <si>
    <t xml:space="preserve">PROVINCIA </t>
  </si>
  <si>
    <t>REGION</t>
  </si>
  <si>
    <t>MUNICIPIO</t>
  </si>
  <si>
    <t>COMUNIDAD</t>
  </si>
  <si>
    <t>BENEFICIARIOS</t>
  </si>
  <si>
    <t>AREA DE RIEGO</t>
  </si>
  <si>
    <t>PLAZO</t>
  </si>
  <si>
    <t>DOCUMENTO
CONVENIO,OTROS</t>
  </si>
  <si>
    <t>ANDINA</t>
  </si>
  <si>
    <t>ARQUE</t>
  </si>
  <si>
    <t>COCAPATA</t>
  </si>
  <si>
    <t>INDEPENDENCIA</t>
  </si>
  <si>
    <t>MOROCHATA</t>
  </si>
  <si>
    <t>SICAYA</t>
  </si>
  <si>
    <t xml:space="preserve">BOLIVAR </t>
  </si>
  <si>
    <t>TACOPAYA</t>
  </si>
  <si>
    <t>TAPACARI</t>
  </si>
  <si>
    <t>VALLES</t>
  </si>
  <si>
    <t>TACACHI</t>
  </si>
  <si>
    <t>SAN BENITO</t>
  </si>
  <si>
    <t>ARANI</t>
  </si>
  <si>
    <t>ARBIETO</t>
  </si>
  <si>
    <t>CLIZA</t>
  </si>
  <si>
    <t>ANZALDO</t>
  </si>
  <si>
    <t>PUNATA</t>
  </si>
  <si>
    <t>CAPINOTA</t>
  </si>
  <si>
    <t>SACABAMBA</t>
  </si>
  <si>
    <t>SANTIVAÑEZ</t>
  </si>
  <si>
    <t>TARATA</t>
  </si>
  <si>
    <t>TOCO</t>
  </si>
  <si>
    <t>TOLATA</t>
  </si>
  <si>
    <t>VILLA RIVERO</t>
  </si>
  <si>
    <t>VILLA G.  VILLARROEL</t>
  </si>
  <si>
    <t>CONO SUR</t>
  </si>
  <si>
    <t>ALALAY</t>
  </si>
  <si>
    <t>TIRAQUE</t>
  </si>
  <si>
    <t>MIZQUE</t>
  </si>
  <si>
    <t>POCONA</t>
  </si>
  <si>
    <t>TOTORA</t>
  </si>
  <si>
    <t>OMEREQUE</t>
  </si>
  <si>
    <t>PASORAPA</t>
  </si>
  <si>
    <t>POJO</t>
  </si>
  <si>
    <t>VACAS</t>
  </si>
  <si>
    <t>VILA VILA</t>
  </si>
  <si>
    <t>RAQAYPAMPA</t>
  </si>
  <si>
    <t>QUILLACOLLO</t>
  </si>
  <si>
    <t>GEOMEMBRANA</t>
  </si>
  <si>
    <t xml:space="preserve">
TANQUE SOBERANO</t>
  </si>
  <si>
    <t>UBICACIÓN COORDENADAS</t>
  </si>
  <si>
    <t>METROPOLITANA</t>
  </si>
  <si>
    <t>AYOPAYA</t>
  </si>
  <si>
    <t>BOLIVAR</t>
  </si>
  <si>
    <t>ESTEBAN ARCE</t>
  </si>
  <si>
    <t>GERMAN JORDAN</t>
  </si>
  <si>
    <t>CAMPERO</t>
  </si>
  <si>
    <t>JOSE CARRASCO</t>
  </si>
  <si>
    <t>CARRASCO</t>
  </si>
  <si>
    <t>CEMENTO</t>
  </si>
  <si>
    <t>FIERRO</t>
  </si>
  <si>
    <t>M2</t>
  </si>
  <si>
    <t>TANQUES</t>
  </si>
  <si>
    <t>KHAPI</t>
  </si>
  <si>
    <t>SEQUE RANCHO</t>
  </si>
  <si>
    <t>KUTI CHALLANI</t>
  </si>
  <si>
    <t>CHULLPA K'ASA GRANDE</t>
  </si>
  <si>
    <t>COTAÑA</t>
  </si>
  <si>
    <t>ZONA NORTE</t>
  </si>
  <si>
    <t>JAMACHUMA</t>
  </si>
  <si>
    <t>VARGAS RANCHO</t>
  </si>
  <si>
    <t>CABRERA</t>
  </si>
  <si>
    <t>LA VILLA</t>
  </si>
  <si>
    <t>VILLCABAMBA-COCOMA</t>
  </si>
  <si>
    <t>MOJON LOMA</t>
  </si>
  <si>
    <t>CONDOR MAYU</t>
  </si>
  <si>
    <t>VILLA SAN JOSE</t>
  </si>
  <si>
    <t>VILLA LOURDES</t>
  </si>
  <si>
    <t>PAJPANI CHICO</t>
  </si>
  <si>
    <t>CONVENTO PAMPA</t>
  </si>
  <si>
    <t>VIRVINI,PAYCO MAYU ALTO,PAYCO MAYU, 15 DE OCTUBRE Y GRUPO PEQUEÑO</t>
  </si>
  <si>
    <t>TUCMA CENTRO</t>
  </si>
  <si>
    <t>SINDICATO MONTE PUNCO A</t>
  </si>
  <si>
    <t>SINDICATO LAGUNILLAS</t>
  </si>
  <si>
    <t>PERERETA</t>
  </si>
  <si>
    <t>QUINORI</t>
  </si>
  <si>
    <t>BUENA VISTA</t>
  </si>
  <si>
    <t>JUNTUTUYU A</t>
  </si>
  <si>
    <t>SIVINGANI</t>
  </si>
  <si>
    <t>SINDICATO DE SLVIA CENTRO-SECTOR HACIENDA PAMPA</t>
  </si>
  <si>
    <t xml:space="preserve">COCAPATA </t>
  </si>
  <si>
    <t>PUNACACHI BAJO</t>
  </si>
  <si>
    <t>PAMPAJASI</t>
  </si>
  <si>
    <t>ACHACOTA</t>
  </si>
  <si>
    <t>LIRIUNI</t>
  </si>
  <si>
    <t>SAMANCHA</t>
  </si>
  <si>
    <t>LA YUNGA</t>
  </si>
  <si>
    <t>MOLINERO-SECTOR WASA MAYU</t>
  </si>
  <si>
    <t>PUCARA</t>
  </si>
  <si>
    <t>CONVENIO</t>
  </si>
  <si>
    <t xml:space="preserve">CONVENIO </t>
  </si>
  <si>
    <t xml:space="preserve">ESTE </t>
  </si>
  <si>
    <t>NORTE</t>
  </si>
  <si>
    <t>FAMILIAS</t>
  </si>
  <si>
    <t>ESTE</t>
  </si>
  <si>
    <t>TOTAL</t>
  </si>
  <si>
    <t>HA</t>
  </si>
  <si>
    <t>797668
801325</t>
  </si>
  <si>
    <t>8022127
8022653</t>
  </si>
  <si>
    <t>DIAS</t>
  </si>
  <si>
    <t>MULU K'UCHU</t>
  </si>
  <si>
    <t>CANTIDAD TANQUES</t>
  </si>
  <si>
    <t>28 Municipios</t>
  </si>
  <si>
    <t>11 Municipios</t>
  </si>
  <si>
    <t>Berenguela</t>
  </si>
  <si>
    <t>Champojo</t>
  </si>
  <si>
    <t>Collpa Aguas Calientes</t>
  </si>
  <si>
    <t>Huarancaiza</t>
  </si>
  <si>
    <t>VALLES ALTO</t>
  </si>
  <si>
    <t xml:space="preserve">VACAS </t>
  </si>
  <si>
    <t>Canari Bajo</t>
  </si>
  <si>
    <t>Compañía Pampa</t>
  </si>
  <si>
    <t>Machaca Marca</t>
  </si>
  <si>
    <t>Jatun Pujru A</t>
  </si>
  <si>
    <t>Yunkataqui</t>
  </si>
  <si>
    <t>Catachilla</t>
  </si>
  <si>
    <t>Puka Orko</t>
  </si>
  <si>
    <t>Machay Kuchu</t>
  </si>
  <si>
    <t>Waña Kawa</t>
  </si>
  <si>
    <t>Challwamayu</t>
  </si>
  <si>
    <t>Uyuchama Baja</t>
  </si>
  <si>
    <t>K'aspi Corral</t>
  </si>
  <si>
    <t>Alto Omereque</t>
  </si>
  <si>
    <t>OTB Zona Central</t>
  </si>
  <si>
    <t>Salvia</t>
  </si>
  <si>
    <t>Sarcobamba</t>
  </si>
  <si>
    <t>773438.00</t>
  </si>
  <si>
    <t>747140.00</t>
  </si>
  <si>
    <t>752642.00</t>
  </si>
  <si>
    <t>767014.00</t>
  </si>
  <si>
    <t>741505.07</t>
  </si>
  <si>
    <t>740399.53</t>
  </si>
  <si>
    <t>787619.94</t>
  </si>
  <si>
    <t>795223.44</t>
  </si>
  <si>
    <t>249934.82</t>
  </si>
  <si>
    <t>8019773.00</t>
  </si>
  <si>
    <t>8014143.00</t>
  </si>
  <si>
    <t>8025442.00</t>
  </si>
  <si>
    <t>8045132.00</t>
  </si>
  <si>
    <t>8082955.27</t>
  </si>
  <si>
    <t>8097691.09</t>
  </si>
  <si>
    <t>8127819.94</t>
  </si>
  <si>
    <t>8016669.00</t>
  </si>
  <si>
    <t>8035783.94</t>
  </si>
  <si>
    <t xml:space="preserve">8029651.57 </t>
  </si>
  <si>
    <t>8057326.64</t>
  </si>
  <si>
    <t>8050501.08</t>
  </si>
  <si>
    <t>8062995.47</t>
  </si>
  <si>
    <t>8056416.32</t>
  </si>
  <si>
    <t>8013109.00</t>
  </si>
  <si>
    <t>8007554.72</t>
  </si>
  <si>
    <t>7997113.00</t>
  </si>
  <si>
    <t>7973364.00</t>
  </si>
  <si>
    <t>7993833.92</t>
  </si>
  <si>
    <t>20 Municipios</t>
  </si>
  <si>
    <t xml:space="preserve">DOTACIÓN DE CEMENTO, FIERRO Y GEOMEMBRANA </t>
  </si>
  <si>
    <t xml:space="preserve">REGIÓN </t>
  </si>
  <si>
    <t xml:space="preserve">MUNICIPIOS </t>
  </si>
  <si>
    <t>TANQUES SOBERANOS DE 50 M3</t>
  </si>
  <si>
    <t>TANQUES DE H° A° DE 22 M3</t>
  </si>
  <si>
    <t xml:space="preserve">GEOMEMBRANA </t>
  </si>
  <si>
    <t xml:space="preserve">METROPOLITANA </t>
  </si>
  <si>
    <t xml:space="preserve">QUILLACOLLO 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</si>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</sst>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0" xfId="0" applyFont="1"/>
    <xf numFmtId="0" fontId="1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right" wrapText="1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view="pageBreakPreview" zoomScale="68" zoomScaleNormal="100" zoomScaleSheetLayoutView="68" workbookViewId="0">
      <selection activeCell="F19" sqref="F19"/>
    </sheetView>
  </sheetViews>
  <sheetFormatPr baseColWidth="10" defaultRowHeight="15" x14ac:dyDescent="0.25"/>
  <cols>
    <col min="1" max="1" width="15.7109375" customWidth="1"/>
    <col min="2" max="2" width="18" customWidth="1"/>
    <col min="3" max="3" width="19.5703125" customWidth="1"/>
    <col min="4" max="4" width="14.28515625" customWidth="1"/>
    <col min="5" max="5" width="14.140625" customWidth="1"/>
    <col min="6" max="6" width="14.28515625" customWidth="1"/>
    <col min="8" max="9" width="11.7109375" customWidth="1"/>
    <col min="10" max="10" width="15.5703125" customWidth="1"/>
    <col min="11" max="11" width="17.7109375" customWidth="1"/>
    <col min="13" max="13" width="18.42578125" customWidth="1"/>
  </cols>
  <sheetData>
    <row r="1" spans="1:13" ht="45" customHeight="1" x14ac:dyDescent="0.25">
      <c r="A1" s="4" t="s">
        <v>0</v>
      </c>
      <c r="B1" s="4" t="s">
        <v>1</v>
      </c>
      <c r="C1" s="4" t="s">
        <v>2</v>
      </c>
      <c r="D1" s="5" t="s">
        <v>109</v>
      </c>
      <c r="E1" s="5" t="s">
        <v>3</v>
      </c>
      <c r="F1" s="4" t="s">
        <v>4</v>
      </c>
      <c r="G1" s="4" t="s">
        <v>5</v>
      </c>
      <c r="H1" s="69" t="s">
        <v>48</v>
      </c>
      <c r="I1" s="69"/>
      <c r="J1" s="66" t="s">
        <v>47</v>
      </c>
      <c r="K1" s="67"/>
      <c r="L1" s="4" t="s">
        <v>6</v>
      </c>
      <c r="M1" s="4" t="s">
        <v>7</v>
      </c>
    </row>
    <row r="2" spans="1:13" ht="45" customHeight="1" x14ac:dyDescent="0.25">
      <c r="A2" s="4"/>
      <c r="B2" s="4"/>
      <c r="C2" s="4"/>
      <c r="D2" s="4"/>
      <c r="E2" s="4" t="s">
        <v>60</v>
      </c>
      <c r="F2" s="4" t="s">
        <v>101</v>
      </c>
      <c r="G2" s="4" t="s">
        <v>104</v>
      </c>
      <c r="H2" s="4" t="s">
        <v>99</v>
      </c>
      <c r="I2" s="4" t="s">
        <v>100</v>
      </c>
      <c r="J2" s="5" t="s">
        <v>57</v>
      </c>
      <c r="K2" s="6" t="s">
        <v>58</v>
      </c>
      <c r="L2" s="4" t="s">
        <v>107</v>
      </c>
      <c r="M2" s="4"/>
    </row>
    <row r="3" spans="1:13" x14ac:dyDescent="0.25">
      <c r="A3" s="2" t="s">
        <v>9</v>
      </c>
      <c r="B3" s="70" t="s">
        <v>8</v>
      </c>
      <c r="C3" s="30" t="s">
        <v>9</v>
      </c>
      <c r="D3" s="22">
        <v>1</v>
      </c>
      <c r="E3" s="34" t="s">
        <v>61</v>
      </c>
      <c r="F3" s="1">
        <v>40</v>
      </c>
      <c r="G3" s="1">
        <v>1.2</v>
      </c>
      <c r="H3" s="1">
        <v>776493</v>
      </c>
      <c r="I3" s="1">
        <v>8020658</v>
      </c>
      <c r="J3" s="1">
        <v>82</v>
      </c>
      <c r="K3" s="1">
        <v>182</v>
      </c>
      <c r="L3" s="1">
        <v>90</v>
      </c>
      <c r="M3" s="1" t="s">
        <v>97</v>
      </c>
    </row>
    <row r="4" spans="1:13" ht="30" x14ac:dyDescent="0.25">
      <c r="A4" s="2" t="s">
        <v>50</v>
      </c>
      <c r="B4" s="70"/>
      <c r="C4" s="30" t="s">
        <v>10</v>
      </c>
      <c r="D4" s="22">
        <v>1</v>
      </c>
      <c r="E4" s="35" t="s">
        <v>62</v>
      </c>
      <c r="F4" s="1">
        <v>60</v>
      </c>
      <c r="G4" s="1">
        <v>1.25</v>
      </c>
      <c r="H4" s="13">
        <v>736524.78</v>
      </c>
      <c r="I4" s="13">
        <v>8177158.9299999997</v>
      </c>
      <c r="J4" s="1">
        <v>89</v>
      </c>
      <c r="K4" s="1">
        <v>182</v>
      </c>
      <c r="L4" s="1">
        <v>45</v>
      </c>
      <c r="M4" s="1"/>
    </row>
    <row r="5" spans="1:13" x14ac:dyDescent="0.25">
      <c r="A5" s="2" t="s">
        <v>50</v>
      </c>
      <c r="B5" s="70"/>
      <c r="C5" s="30" t="s">
        <v>11</v>
      </c>
      <c r="D5" s="22">
        <v>1</v>
      </c>
      <c r="E5" s="34" t="s">
        <v>63</v>
      </c>
      <c r="F5" s="1">
        <v>27</v>
      </c>
      <c r="G5" s="1">
        <v>1.5</v>
      </c>
      <c r="H5" s="12">
        <v>718566</v>
      </c>
      <c r="I5" s="12">
        <v>8120799</v>
      </c>
      <c r="J5" s="1">
        <v>89</v>
      </c>
      <c r="K5" s="1">
        <v>182</v>
      </c>
      <c r="L5" s="1">
        <v>45</v>
      </c>
      <c r="M5" s="1"/>
    </row>
    <row r="6" spans="1:13" ht="30" x14ac:dyDescent="0.25">
      <c r="A6" s="2" t="s">
        <v>50</v>
      </c>
      <c r="B6" s="70"/>
      <c r="C6" s="30" t="s">
        <v>12</v>
      </c>
      <c r="D6" s="22">
        <v>1</v>
      </c>
      <c r="E6" s="35" t="s">
        <v>64</v>
      </c>
      <c r="F6" s="1">
        <v>77</v>
      </c>
      <c r="G6" s="1">
        <v>1.8</v>
      </c>
      <c r="H6" s="13">
        <v>761797.88</v>
      </c>
      <c r="I6" s="13">
        <v>8082749.5300000003</v>
      </c>
      <c r="J6" s="1">
        <v>89</v>
      </c>
      <c r="K6" s="1">
        <v>182</v>
      </c>
      <c r="L6" s="1">
        <v>45</v>
      </c>
      <c r="M6" s="1"/>
    </row>
    <row r="7" spans="1:13" hidden="1" x14ac:dyDescent="0.25">
      <c r="A7" s="2" t="s">
        <v>25</v>
      </c>
      <c r="B7" s="70"/>
      <c r="C7" s="30" t="s">
        <v>13</v>
      </c>
      <c r="D7" s="22"/>
      <c r="E7" s="34"/>
      <c r="F7" s="1"/>
      <c r="G7" s="1"/>
      <c r="H7" s="1"/>
      <c r="I7" s="1"/>
      <c r="J7" s="1"/>
      <c r="K7" s="1"/>
      <c r="L7" s="1"/>
      <c r="M7" s="1"/>
    </row>
    <row r="8" spans="1:13" x14ac:dyDescent="0.25">
      <c r="A8" s="2" t="s">
        <v>51</v>
      </c>
      <c r="B8" s="70"/>
      <c r="C8" s="30" t="s">
        <v>14</v>
      </c>
      <c r="D8" s="22">
        <v>1</v>
      </c>
      <c r="E8" s="34" t="s">
        <v>65</v>
      </c>
      <c r="F8" s="1">
        <v>57</v>
      </c>
      <c r="G8" s="1">
        <v>1.5</v>
      </c>
      <c r="H8" s="11">
        <v>769413.22</v>
      </c>
      <c r="I8" s="11">
        <v>8010333.8700000001</v>
      </c>
      <c r="J8" s="1">
        <v>111</v>
      </c>
      <c r="K8" s="1">
        <v>182</v>
      </c>
      <c r="L8" s="1">
        <v>45</v>
      </c>
      <c r="M8" s="1"/>
    </row>
    <row r="9" spans="1:13" hidden="1" x14ac:dyDescent="0.25">
      <c r="A9" s="2" t="s">
        <v>16</v>
      </c>
      <c r="B9" s="70"/>
      <c r="C9" s="30" t="s">
        <v>15</v>
      </c>
      <c r="D9" s="22"/>
      <c r="E9" s="34"/>
      <c r="F9" s="1"/>
      <c r="G9" s="1"/>
      <c r="H9" s="1"/>
      <c r="I9" s="1"/>
      <c r="J9" s="1"/>
      <c r="K9" s="1"/>
      <c r="L9" s="1"/>
      <c r="M9" s="1"/>
    </row>
    <row r="10" spans="1:13" x14ac:dyDescent="0.25">
      <c r="A10" s="2" t="s">
        <v>16</v>
      </c>
      <c r="B10" s="70"/>
      <c r="C10" s="30" t="s">
        <v>16</v>
      </c>
      <c r="D10" s="22">
        <v>1</v>
      </c>
      <c r="E10" s="34" t="s">
        <v>43</v>
      </c>
      <c r="F10" s="1">
        <v>23</v>
      </c>
      <c r="G10" s="1">
        <v>1.4</v>
      </c>
      <c r="H10" s="10">
        <v>739272.60699999996</v>
      </c>
      <c r="I10" s="10">
        <v>8062855.8200000003</v>
      </c>
      <c r="J10" s="1">
        <v>89</v>
      </c>
      <c r="K10" s="1">
        <v>182</v>
      </c>
      <c r="L10" s="1">
        <v>45</v>
      </c>
      <c r="M10" s="1"/>
    </row>
    <row r="11" spans="1:13" hidden="1" x14ac:dyDescent="0.25">
      <c r="A11" s="2" t="s">
        <v>24</v>
      </c>
      <c r="B11" s="70" t="s">
        <v>17</v>
      </c>
      <c r="C11" s="31" t="s">
        <v>18</v>
      </c>
      <c r="D11" s="23"/>
      <c r="E11" s="34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2" t="s">
        <v>24</v>
      </c>
      <c r="B12" s="70"/>
      <c r="C12" s="31" t="s">
        <v>19</v>
      </c>
      <c r="D12" s="23">
        <v>1</v>
      </c>
      <c r="E12" s="34" t="s">
        <v>66</v>
      </c>
      <c r="F12" s="1">
        <v>300</v>
      </c>
      <c r="G12" s="1">
        <v>2</v>
      </c>
      <c r="H12" s="10">
        <v>192742.6</v>
      </c>
      <c r="I12" s="10">
        <v>8061002.9000000004</v>
      </c>
      <c r="J12" s="1">
        <v>89</v>
      </c>
      <c r="K12" s="1">
        <v>182</v>
      </c>
      <c r="L12" s="1">
        <v>45</v>
      </c>
      <c r="M12" s="1"/>
    </row>
    <row r="13" spans="1:13" hidden="1" x14ac:dyDescent="0.25">
      <c r="A13" s="2" t="s">
        <v>20</v>
      </c>
      <c r="B13" s="70"/>
      <c r="C13" s="31" t="s">
        <v>20</v>
      </c>
      <c r="D13" s="23"/>
      <c r="E13" s="34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2" t="s">
        <v>52</v>
      </c>
      <c r="B14" s="70"/>
      <c r="C14" s="31" t="s">
        <v>21</v>
      </c>
      <c r="D14" s="23">
        <v>1</v>
      </c>
      <c r="E14" s="34" t="s">
        <v>67</v>
      </c>
      <c r="F14" s="1">
        <v>15</v>
      </c>
      <c r="G14" s="1">
        <v>2</v>
      </c>
      <c r="H14" s="13">
        <v>805082.26</v>
      </c>
      <c r="I14" s="13">
        <v>8059682.0099999998</v>
      </c>
      <c r="J14" s="1">
        <v>89</v>
      </c>
      <c r="K14" s="14">
        <v>182</v>
      </c>
      <c r="L14" s="1">
        <v>45</v>
      </c>
      <c r="M14" s="1"/>
    </row>
    <row r="15" spans="1:13" ht="30" x14ac:dyDescent="0.25">
      <c r="A15" s="2" t="s">
        <v>52</v>
      </c>
      <c r="B15" s="70"/>
      <c r="C15" s="31" t="s">
        <v>22</v>
      </c>
      <c r="D15" s="23">
        <v>1</v>
      </c>
      <c r="E15" s="35" t="s">
        <v>68</v>
      </c>
      <c r="F15" s="1">
        <v>38</v>
      </c>
      <c r="G15" s="1">
        <v>4.5999999999999996</v>
      </c>
      <c r="H15" s="12">
        <v>187491.06</v>
      </c>
      <c r="I15" s="12">
        <v>8051685.5800000001</v>
      </c>
      <c r="J15" s="1">
        <v>89</v>
      </c>
      <c r="K15" s="1">
        <v>182</v>
      </c>
      <c r="L15" s="1">
        <v>45</v>
      </c>
      <c r="M15" s="1"/>
    </row>
    <row r="16" spans="1:13" ht="15.75" customHeight="1" x14ac:dyDescent="0.25">
      <c r="A16" s="2" t="s">
        <v>52</v>
      </c>
      <c r="B16" s="70"/>
      <c r="C16" s="31" t="s">
        <v>23</v>
      </c>
      <c r="D16" s="23">
        <v>1</v>
      </c>
      <c r="E16" s="34" t="s">
        <v>69</v>
      </c>
      <c r="F16" s="1"/>
      <c r="G16" s="1"/>
      <c r="H16" s="1"/>
      <c r="I16" s="1"/>
      <c r="J16" s="1">
        <v>82</v>
      </c>
      <c r="K16" s="1">
        <v>182</v>
      </c>
      <c r="L16" s="1">
        <v>90</v>
      </c>
      <c r="M16" s="1" t="s">
        <v>97</v>
      </c>
    </row>
    <row r="17" spans="1:13" x14ac:dyDescent="0.25">
      <c r="A17" s="2" t="s">
        <v>24</v>
      </c>
      <c r="B17" s="70"/>
      <c r="C17" s="31" t="s">
        <v>24</v>
      </c>
      <c r="D17" s="23">
        <v>1</v>
      </c>
      <c r="E17" s="34" t="s">
        <v>70</v>
      </c>
      <c r="F17" s="1">
        <v>90</v>
      </c>
      <c r="G17" s="1">
        <v>1</v>
      </c>
      <c r="H17" s="11">
        <v>202078.05</v>
      </c>
      <c r="I17" s="11">
        <v>8062004.2599999998</v>
      </c>
      <c r="J17" s="1">
        <v>89</v>
      </c>
      <c r="K17" s="1">
        <v>182</v>
      </c>
      <c r="L17" s="1">
        <v>45</v>
      </c>
      <c r="M17" s="1"/>
    </row>
    <row r="18" spans="1:13" ht="30" x14ac:dyDescent="0.25">
      <c r="A18" s="2" t="s">
        <v>25</v>
      </c>
      <c r="B18" s="70"/>
      <c r="C18" s="32" t="s">
        <v>25</v>
      </c>
      <c r="D18" s="25">
        <v>2</v>
      </c>
      <c r="E18" s="35" t="s">
        <v>71</v>
      </c>
      <c r="F18" s="15">
        <v>60</v>
      </c>
      <c r="G18" s="15">
        <v>3.5</v>
      </c>
      <c r="H18" s="16" t="s">
        <v>105</v>
      </c>
      <c r="I18" s="17" t="s">
        <v>106</v>
      </c>
      <c r="J18" s="15">
        <v>178</v>
      </c>
      <c r="K18" s="15">
        <v>364</v>
      </c>
      <c r="L18" s="1">
        <v>45</v>
      </c>
      <c r="M18" s="1"/>
    </row>
    <row r="19" spans="1:13" x14ac:dyDescent="0.25">
      <c r="A19" s="2" t="s">
        <v>52</v>
      </c>
      <c r="B19" s="70"/>
      <c r="C19" s="31" t="s">
        <v>26</v>
      </c>
      <c r="D19" s="23">
        <v>1</v>
      </c>
      <c r="E19" s="34" t="s">
        <v>72</v>
      </c>
      <c r="F19" s="1">
        <v>52</v>
      </c>
      <c r="G19" s="1">
        <v>10</v>
      </c>
      <c r="H19" s="11">
        <v>202768</v>
      </c>
      <c r="I19" s="11">
        <v>8027777</v>
      </c>
      <c r="J19" s="1">
        <v>89</v>
      </c>
      <c r="K19" s="1">
        <v>182</v>
      </c>
      <c r="L19" s="1">
        <v>45</v>
      </c>
      <c r="M19" s="1"/>
    </row>
    <row r="20" spans="1:13" x14ac:dyDescent="0.25">
      <c r="A20" s="2" t="s">
        <v>25</v>
      </c>
      <c r="B20" s="70"/>
      <c r="C20" s="31" t="s">
        <v>27</v>
      </c>
      <c r="D20" s="23">
        <v>1</v>
      </c>
      <c r="E20" s="34" t="s">
        <v>73</v>
      </c>
      <c r="F20" s="1">
        <v>55</v>
      </c>
      <c r="G20" s="1">
        <v>2</v>
      </c>
      <c r="H20" s="11">
        <v>789517.34</v>
      </c>
      <c r="I20" s="11">
        <v>8062269.9500000002</v>
      </c>
      <c r="J20" s="1">
        <v>89</v>
      </c>
      <c r="K20" s="1">
        <v>182</v>
      </c>
      <c r="L20" s="1">
        <v>45</v>
      </c>
      <c r="M20" s="1"/>
    </row>
    <row r="21" spans="1:13" x14ac:dyDescent="0.25">
      <c r="A21" s="2" t="s">
        <v>52</v>
      </c>
      <c r="B21" s="70"/>
      <c r="C21" s="31" t="s">
        <v>28</v>
      </c>
      <c r="D21" s="23">
        <v>1</v>
      </c>
      <c r="E21" s="34" t="s">
        <v>74</v>
      </c>
      <c r="F21" s="1">
        <v>85</v>
      </c>
      <c r="G21" s="1">
        <v>2</v>
      </c>
      <c r="H21" s="11">
        <v>814492.88</v>
      </c>
      <c r="I21" s="11">
        <v>8045655.54</v>
      </c>
      <c r="J21" s="1">
        <v>89</v>
      </c>
      <c r="K21" s="1">
        <v>182</v>
      </c>
      <c r="L21" s="1">
        <v>45</v>
      </c>
      <c r="M21" s="1"/>
    </row>
    <row r="22" spans="1:13" hidden="1" x14ac:dyDescent="0.25">
      <c r="A22" s="2" t="s">
        <v>53</v>
      </c>
      <c r="B22" s="70"/>
      <c r="C22" s="31" t="s">
        <v>29</v>
      </c>
      <c r="D22" s="23"/>
      <c r="E22" s="34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2" t="s">
        <v>53</v>
      </c>
      <c r="B23" s="70"/>
      <c r="C23" s="31" t="s">
        <v>30</v>
      </c>
      <c r="D23" s="23">
        <v>1</v>
      </c>
      <c r="E23" s="34" t="s">
        <v>75</v>
      </c>
      <c r="F23" s="1">
        <v>32</v>
      </c>
      <c r="G23" s="1">
        <v>2</v>
      </c>
      <c r="H23" s="11">
        <v>184558.1</v>
      </c>
      <c r="I23" s="11">
        <v>8058720.2000000002</v>
      </c>
      <c r="J23" s="1">
        <v>89</v>
      </c>
      <c r="K23" s="1">
        <v>182</v>
      </c>
      <c r="L23" s="1">
        <v>45</v>
      </c>
      <c r="M23" s="1"/>
    </row>
    <row r="24" spans="1:13" x14ac:dyDescent="0.25">
      <c r="A24" s="2" t="s">
        <v>24</v>
      </c>
      <c r="B24" s="70"/>
      <c r="C24" s="31" t="s">
        <v>31</v>
      </c>
      <c r="D24" s="23">
        <v>1</v>
      </c>
      <c r="E24" s="34" t="s">
        <v>76</v>
      </c>
      <c r="F24" s="1">
        <v>39</v>
      </c>
      <c r="G24" s="1">
        <v>0.6</v>
      </c>
      <c r="H24" s="10">
        <v>194533</v>
      </c>
      <c r="I24" s="10">
        <v>8048801</v>
      </c>
      <c r="J24" s="1">
        <v>89</v>
      </c>
      <c r="K24" s="1">
        <v>182</v>
      </c>
      <c r="L24" s="1">
        <v>45</v>
      </c>
      <c r="M24" s="1"/>
    </row>
    <row r="25" spans="1:13" ht="30" x14ac:dyDescent="0.25">
      <c r="A25" s="2" t="s">
        <v>24</v>
      </c>
      <c r="B25" s="70"/>
      <c r="C25" s="31" t="s">
        <v>32</v>
      </c>
      <c r="D25" s="23">
        <v>1</v>
      </c>
      <c r="E25" s="35" t="s">
        <v>77</v>
      </c>
      <c r="F25" s="1">
        <v>17</v>
      </c>
      <c r="G25" s="1">
        <v>1.2</v>
      </c>
      <c r="H25" s="10">
        <v>209314.36</v>
      </c>
      <c r="I25" s="10">
        <v>8040975.0899999999</v>
      </c>
      <c r="J25" s="1">
        <v>105</v>
      </c>
      <c r="K25" s="1">
        <v>182</v>
      </c>
      <c r="L25" s="1">
        <v>45</v>
      </c>
      <c r="M25" s="1"/>
    </row>
    <row r="26" spans="1:13" ht="105" x14ac:dyDescent="0.25">
      <c r="A26" s="2" t="s">
        <v>35</v>
      </c>
      <c r="B26" s="70" t="s">
        <v>33</v>
      </c>
      <c r="C26" s="33" t="s">
        <v>35</v>
      </c>
      <c r="D26" s="24">
        <v>1</v>
      </c>
      <c r="E26" s="35" t="s">
        <v>78</v>
      </c>
      <c r="F26" s="1">
        <v>170</v>
      </c>
      <c r="G26" s="1">
        <v>6</v>
      </c>
      <c r="H26" s="10">
        <v>211546.94</v>
      </c>
      <c r="I26" s="1">
        <v>8069940.8799999999</v>
      </c>
      <c r="J26" s="1">
        <v>89</v>
      </c>
      <c r="K26" s="1">
        <v>182</v>
      </c>
      <c r="L26" s="1">
        <v>45</v>
      </c>
      <c r="M26" s="1"/>
    </row>
    <row r="27" spans="1:13" ht="30" x14ac:dyDescent="0.25">
      <c r="A27" s="2" t="s">
        <v>36</v>
      </c>
      <c r="B27" s="70"/>
      <c r="C27" s="33" t="s">
        <v>36</v>
      </c>
      <c r="D27" s="24">
        <v>1</v>
      </c>
      <c r="E27" s="35" t="s">
        <v>79</v>
      </c>
      <c r="F27" s="1">
        <v>84</v>
      </c>
      <c r="G27" s="1">
        <v>0.5</v>
      </c>
      <c r="H27" s="11">
        <v>252944</v>
      </c>
      <c r="I27" s="11">
        <v>8021293</v>
      </c>
      <c r="J27" s="1">
        <v>89</v>
      </c>
      <c r="K27" s="1">
        <v>182</v>
      </c>
      <c r="L27" s="1">
        <v>45</v>
      </c>
      <c r="M27" s="1"/>
    </row>
    <row r="28" spans="1:13" ht="45" x14ac:dyDescent="0.25">
      <c r="A28" s="2" t="s">
        <v>55</v>
      </c>
      <c r="B28" s="70"/>
      <c r="C28" s="33" t="s">
        <v>37</v>
      </c>
      <c r="D28" s="24">
        <v>1</v>
      </c>
      <c r="E28" s="35" t="s">
        <v>80</v>
      </c>
      <c r="F28" s="1">
        <v>38</v>
      </c>
      <c r="G28" s="1">
        <v>0.5</v>
      </c>
      <c r="H28" s="1">
        <v>256087</v>
      </c>
      <c r="I28" s="1">
        <v>8053181</v>
      </c>
      <c r="J28" s="1">
        <v>82</v>
      </c>
      <c r="K28" s="1">
        <v>182</v>
      </c>
      <c r="L28" s="1">
        <v>90</v>
      </c>
      <c r="M28" s="1" t="s">
        <v>97</v>
      </c>
    </row>
    <row r="29" spans="1:13" ht="30" x14ac:dyDescent="0.25">
      <c r="A29" s="2" t="s">
        <v>55</v>
      </c>
      <c r="B29" s="70"/>
      <c r="C29" s="33" t="s">
        <v>38</v>
      </c>
      <c r="D29" s="24">
        <v>1</v>
      </c>
      <c r="E29" s="35" t="s">
        <v>81</v>
      </c>
      <c r="F29" s="1">
        <v>43</v>
      </c>
      <c r="G29" s="1"/>
      <c r="H29" s="1">
        <v>271128.39</v>
      </c>
      <c r="I29" s="1">
        <v>8036185.0999999996</v>
      </c>
      <c r="J29" s="1">
        <v>82</v>
      </c>
      <c r="K29" s="1">
        <v>182</v>
      </c>
      <c r="L29" s="1">
        <v>90</v>
      </c>
      <c r="M29" s="1" t="s">
        <v>97</v>
      </c>
    </row>
    <row r="30" spans="1:13" x14ac:dyDescent="0.25">
      <c r="A30" s="2" t="s">
        <v>54</v>
      </c>
      <c r="B30" s="70"/>
      <c r="C30" s="33" t="s">
        <v>39</v>
      </c>
      <c r="D30" s="24">
        <v>1</v>
      </c>
      <c r="E30" s="34" t="s">
        <v>82</v>
      </c>
      <c r="F30" s="1">
        <v>20</v>
      </c>
      <c r="G30" s="1">
        <v>1.2</v>
      </c>
      <c r="H30" s="18">
        <v>307431.51</v>
      </c>
      <c r="I30" s="18">
        <v>7993914.5300000003</v>
      </c>
      <c r="J30" s="1">
        <v>89</v>
      </c>
      <c r="K30" s="1">
        <v>182</v>
      </c>
      <c r="L30" s="1"/>
      <c r="M30" s="1"/>
    </row>
    <row r="31" spans="1:13" x14ac:dyDescent="0.25">
      <c r="A31" s="2" t="s">
        <v>54</v>
      </c>
      <c r="B31" s="70"/>
      <c r="C31" s="33" t="s">
        <v>40</v>
      </c>
      <c r="D31" s="24">
        <v>1</v>
      </c>
      <c r="E31" s="34" t="s">
        <v>83</v>
      </c>
      <c r="F31" s="1">
        <v>20</v>
      </c>
      <c r="G31" s="1">
        <v>0.5</v>
      </c>
      <c r="H31" s="1">
        <v>337579</v>
      </c>
      <c r="I31" s="1">
        <v>7983384</v>
      </c>
      <c r="J31" s="1">
        <v>82</v>
      </c>
      <c r="K31" s="1">
        <v>182</v>
      </c>
      <c r="L31" s="8">
        <v>90</v>
      </c>
      <c r="M31" s="1" t="s">
        <v>97</v>
      </c>
    </row>
    <row r="32" spans="1:13" x14ac:dyDescent="0.25">
      <c r="A32" s="2" t="s">
        <v>56</v>
      </c>
      <c r="B32" s="70"/>
      <c r="C32" s="33" t="s">
        <v>41</v>
      </c>
      <c r="D32" s="24">
        <v>1</v>
      </c>
      <c r="E32" s="34" t="s">
        <v>84</v>
      </c>
      <c r="F32" s="1">
        <v>150</v>
      </c>
      <c r="G32" s="1">
        <v>0.5</v>
      </c>
      <c r="H32" s="1">
        <v>303995</v>
      </c>
      <c r="I32" s="1">
        <v>8036923.2300000004</v>
      </c>
      <c r="J32" s="1">
        <v>82</v>
      </c>
      <c r="K32" s="1">
        <v>182</v>
      </c>
      <c r="L32" s="1">
        <v>90</v>
      </c>
      <c r="M32" s="1" t="s">
        <v>97</v>
      </c>
    </row>
    <row r="33" spans="1:13" x14ac:dyDescent="0.25">
      <c r="A33" s="2" t="s">
        <v>20</v>
      </c>
      <c r="B33" s="70"/>
      <c r="C33" s="33" t="s">
        <v>42</v>
      </c>
      <c r="D33" s="24">
        <v>1</v>
      </c>
      <c r="E33" s="34" t="s">
        <v>85</v>
      </c>
      <c r="F33" s="1">
        <v>60</v>
      </c>
      <c r="G33" s="1">
        <v>2</v>
      </c>
      <c r="H33" s="11">
        <v>217748.95600000001</v>
      </c>
      <c r="I33" s="11">
        <v>8055318.7050000001</v>
      </c>
      <c r="J33" s="1">
        <v>89</v>
      </c>
      <c r="K33" s="1">
        <v>182</v>
      </c>
      <c r="L33" s="1">
        <v>45</v>
      </c>
      <c r="M33" s="1"/>
    </row>
    <row r="34" spans="1:13" x14ac:dyDescent="0.25">
      <c r="A34" s="2" t="s">
        <v>36</v>
      </c>
      <c r="B34" s="70"/>
      <c r="C34" s="33" t="s">
        <v>43</v>
      </c>
      <c r="D34" s="24">
        <v>1</v>
      </c>
      <c r="E34" s="34" t="s">
        <v>86</v>
      </c>
      <c r="F34" s="1">
        <v>30</v>
      </c>
      <c r="G34" s="1">
        <v>1</v>
      </c>
      <c r="H34" s="10">
        <v>215360.37</v>
      </c>
      <c r="I34" s="10">
        <v>8016877.5300000003</v>
      </c>
      <c r="J34" s="1">
        <v>100</v>
      </c>
      <c r="K34" s="1">
        <v>182</v>
      </c>
      <c r="L34" s="1">
        <v>45</v>
      </c>
      <c r="M34" s="1"/>
    </row>
    <row r="35" spans="1:13" ht="75" x14ac:dyDescent="0.25">
      <c r="A35" s="2" t="s">
        <v>36</v>
      </c>
      <c r="B35" s="70"/>
      <c r="C35" s="33" t="s">
        <v>44</v>
      </c>
      <c r="D35" s="24">
        <v>1</v>
      </c>
      <c r="E35" s="35" t="s">
        <v>87</v>
      </c>
      <c r="F35" s="1">
        <v>28</v>
      </c>
      <c r="G35" s="1">
        <v>1.4</v>
      </c>
      <c r="H35" s="1">
        <v>252955</v>
      </c>
      <c r="I35" s="1">
        <v>7991459</v>
      </c>
      <c r="J35" s="1">
        <v>82</v>
      </c>
      <c r="K35" s="1">
        <v>182</v>
      </c>
      <c r="L35" s="1">
        <v>90</v>
      </c>
      <c r="M35" s="1" t="s">
        <v>97</v>
      </c>
    </row>
    <row r="36" spans="1:13" x14ac:dyDescent="0.25">
      <c r="A36" s="68" t="s">
        <v>103</v>
      </c>
      <c r="B36" s="68"/>
      <c r="C36" s="29" t="s">
        <v>110</v>
      </c>
      <c r="D36" s="36">
        <f>SUM(D3:D35)</f>
        <v>29</v>
      </c>
      <c r="E36" s="28"/>
      <c r="F36" s="28">
        <f>SUM(F3:F35)</f>
        <v>1710</v>
      </c>
      <c r="G36" s="28">
        <f>SUM(G3:G35)</f>
        <v>53.150000000000006</v>
      </c>
      <c r="H36" s="28"/>
      <c r="I36" s="28"/>
      <c r="J36" s="28">
        <f>SUM(J3:J35)</f>
        <v>2581</v>
      </c>
      <c r="K36" s="28">
        <f>SUM(K3:K35)</f>
        <v>5278</v>
      </c>
      <c r="L36" s="1"/>
      <c r="M36" s="1"/>
    </row>
  </sheetData>
  <mergeCells count="6">
    <mergeCell ref="J1:K1"/>
    <mergeCell ref="A36:B36"/>
    <mergeCell ref="H1:I1"/>
    <mergeCell ref="B3:B10"/>
    <mergeCell ref="B11:B25"/>
    <mergeCell ref="B26:B35"/>
  </mergeCells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view="pageBreakPreview" topLeftCell="B1" zoomScaleNormal="100" zoomScaleSheetLayoutView="100" workbookViewId="0">
      <selection activeCell="I29" sqref="I29"/>
    </sheetView>
  </sheetViews>
  <sheetFormatPr baseColWidth="10" defaultRowHeight="15" x14ac:dyDescent="0.25"/>
  <cols>
    <col min="1" max="1" width="15.7109375" customWidth="1"/>
    <col min="2" max="2" width="18" customWidth="1"/>
    <col min="3" max="3" width="19.5703125" customWidth="1"/>
    <col min="4" max="4" width="14.28515625" customWidth="1"/>
    <col min="5" max="5" width="17" customWidth="1"/>
    <col min="6" max="6" width="14.28515625" customWidth="1"/>
    <col min="7" max="8" width="11.7109375" customWidth="1"/>
    <col min="9" max="9" width="15.5703125" customWidth="1"/>
    <col min="10" max="10" width="17.7109375" customWidth="1"/>
    <col min="12" max="12" width="18.42578125" customWidth="1"/>
  </cols>
  <sheetData>
    <row r="1" spans="1:12" ht="45" customHeight="1" x14ac:dyDescent="0.25">
      <c r="A1" s="4" t="s">
        <v>0</v>
      </c>
      <c r="B1" s="4" t="s">
        <v>1</v>
      </c>
      <c r="C1" s="4" t="s">
        <v>2</v>
      </c>
      <c r="D1" s="5" t="s">
        <v>109</v>
      </c>
      <c r="E1" s="5" t="s">
        <v>3</v>
      </c>
      <c r="F1" s="4" t="s">
        <v>4</v>
      </c>
      <c r="G1" s="69" t="s">
        <v>48</v>
      </c>
      <c r="H1" s="69"/>
      <c r="I1" s="66" t="s">
        <v>47</v>
      </c>
      <c r="J1" s="67"/>
      <c r="K1" s="4" t="s">
        <v>6</v>
      </c>
      <c r="L1" s="4" t="s">
        <v>7</v>
      </c>
    </row>
    <row r="2" spans="1:12" ht="45" customHeight="1" x14ac:dyDescent="0.25">
      <c r="A2" s="4"/>
      <c r="B2" s="4"/>
      <c r="C2" s="4"/>
      <c r="D2" s="4"/>
      <c r="E2" s="4" t="s">
        <v>60</v>
      </c>
      <c r="F2" s="4" t="s">
        <v>101</v>
      </c>
      <c r="G2" s="46" t="s">
        <v>99</v>
      </c>
      <c r="H2" s="46" t="s">
        <v>100</v>
      </c>
      <c r="I2" s="5" t="s">
        <v>57</v>
      </c>
      <c r="J2" s="6" t="s">
        <v>58</v>
      </c>
      <c r="K2" s="4" t="s">
        <v>107</v>
      </c>
      <c r="L2" s="4"/>
    </row>
    <row r="3" spans="1:12" x14ac:dyDescent="0.25">
      <c r="A3" s="2" t="s">
        <v>9</v>
      </c>
      <c r="B3" s="71" t="s">
        <v>8</v>
      </c>
      <c r="C3" s="30" t="s">
        <v>9</v>
      </c>
      <c r="D3" s="22">
        <v>1</v>
      </c>
      <c r="E3" s="34" t="s">
        <v>112</v>
      </c>
      <c r="F3" s="43"/>
      <c r="G3" s="49" t="s">
        <v>134</v>
      </c>
      <c r="H3" s="50" t="s">
        <v>143</v>
      </c>
      <c r="I3" s="45">
        <v>96</v>
      </c>
      <c r="J3" s="1">
        <v>70</v>
      </c>
      <c r="K3" s="1">
        <v>90</v>
      </c>
      <c r="L3" s="1"/>
    </row>
    <row r="4" spans="1:12" x14ac:dyDescent="0.25">
      <c r="A4" s="47" t="s">
        <v>14</v>
      </c>
      <c r="B4" s="72"/>
      <c r="C4" s="30" t="s">
        <v>14</v>
      </c>
      <c r="D4" s="22">
        <v>1</v>
      </c>
      <c r="E4" s="35" t="s">
        <v>113</v>
      </c>
      <c r="F4" s="43"/>
      <c r="G4" s="49" t="s">
        <v>135</v>
      </c>
      <c r="H4" s="50" t="s">
        <v>144</v>
      </c>
      <c r="I4" s="45">
        <v>96</v>
      </c>
      <c r="J4" s="1">
        <v>70</v>
      </c>
      <c r="K4" s="1"/>
      <c r="L4" s="1"/>
    </row>
    <row r="5" spans="1:12" ht="30" x14ac:dyDescent="0.25">
      <c r="A5" s="2" t="s">
        <v>9</v>
      </c>
      <c r="B5" s="72"/>
      <c r="C5" s="30" t="s">
        <v>15</v>
      </c>
      <c r="D5" s="22">
        <v>1</v>
      </c>
      <c r="E5" s="35" t="s">
        <v>114</v>
      </c>
      <c r="F5" s="43">
        <v>25</v>
      </c>
      <c r="G5" s="49" t="s">
        <v>136</v>
      </c>
      <c r="H5" s="50" t="s">
        <v>145</v>
      </c>
      <c r="I5" s="45">
        <v>96</v>
      </c>
      <c r="J5" s="1">
        <v>70</v>
      </c>
      <c r="K5" s="1"/>
      <c r="L5" s="1"/>
    </row>
    <row r="6" spans="1:12" x14ac:dyDescent="0.25">
      <c r="A6" s="2" t="s">
        <v>16</v>
      </c>
      <c r="B6" s="73"/>
      <c r="C6" s="30" t="s">
        <v>16</v>
      </c>
      <c r="D6" s="22">
        <v>1</v>
      </c>
      <c r="E6" s="35" t="s">
        <v>115</v>
      </c>
      <c r="F6" s="43">
        <v>55</v>
      </c>
      <c r="G6" s="49" t="s">
        <v>137</v>
      </c>
      <c r="H6" s="50" t="s">
        <v>146</v>
      </c>
      <c r="I6" s="45">
        <v>96</v>
      </c>
      <c r="J6" s="1">
        <v>70</v>
      </c>
      <c r="K6" s="1"/>
      <c r="L6" s="1"/>
    </row>
    <row r="7" spans="1:12" ht="14.45" hidden="1" customHeight="1" x14ac:dyDescent="0.25">
      <c r="A7" s="2" t="s">
        <v>25</v>
      </c>
      <c r="B7" s="40"/>
      <c r="C7" s="30" t="s">
        <v>13</v>
      </c>
      <c r="D7" s="22"/>
      <c r="E7" s="34"/>
      <c r="F7" s="43"/>
      <c r="G7" s="49" t="s">
        <v>138</v>
      </c>
      <c r="H7" s="49"/>
      <c r="I7" s="45">
        <v>96</v>
      </c>
      <c r="J7" s="1">
        <v>70</v>
      </c>
      <c r="K7" s="1"/>
      <c r="L7" s="1"/>
    </row>
    <row r="8" spans="1:12" x14ac:dyDescent="0.25">
      <c r="A8" s="2" t="s">
        <v>50</v>
      </c>
      <c r="B8" s="71" t="s">
        <v>50</v>
      </c>
      <c r="C8" s="41" t="s">
        <v>11</v>
      </c>
      <c r="D8" s="42">
        <v>1</v>
      </c>
      <c r="E8" s="34" t="s">
        <v>118</v>
      </c>
      <c r="F8" s="43"/>
      <c r="G8" s="49">
        <v>741505.07</v>
      </c>
      <c r="H8" s="50" t="s">
        <v>147</v>
      </c>
      <c r="I8" s="45">
        <v>96</v>
      </c>
      <c r="J8" s="1">
        <v>70</v>
      </c>
      <c r="K8" s="1"/>
      <c r="L8" s="1"/>
    </row>
    <row r="9" spans="1:12" ht="14.45" hidden="1" customHeight="1" x14ac:dyDescent="0.25">
      <c r="A9" s="2" t="s">
        <v>16</v>
      </c>
      <c r="B9" s="72"/>
      <c r="C9" s="41"/>
      <c r="D9" s="42"/>
      <c r="E9" s="34"/>
      <c r="F9" s="43"/>
      <c r="G9" s="49" t="s">
        <v>139</v>
      </c>
      <c r="H9" s="49"/>
      <c r="I9" s="45">
        <v>96</v>
      </c>
      <c r="J9" s="1">
        <v>70</v>
      </c>
      <c r="K9" s="1"/>
      <c r="L9" s="1"/>
    </row>
    <row r="10" spans="1:12" x14ac:dyDescent="0.25">
      <c r="A10" s="2" t="s">
        <v>50</v>
      </c>
      <c r="B10" s="72"/>
      <c r="C10" s="41" t="s">
        <v>12</v>
      </c>
      <c r="D10" s="42">
        <v>1</v>
      </c>
      <c r="E10" s="34" t="s">
        <v>119</v>
      </c>
      <c r="F10" s="43"/>
      <c r="G10" s="49">
        <v>754879.27</v>
      </c>
      <c r="H10" s="50" t="s">
        <v>148</v>
      </c>
      <c r="I10" s="45">
        <v>96</v>
      </c>
      <c r="J10" s="1">
        <v>70</v>
      </c>
      <c r="K10" s="1"/>
      <c r="L10" s="1"/>
    </row>
    <row r="11" spans="1:12" ht="14.45" hidden="1" customHeight="1" x14ac:dyDescent="0.25">
      <c r="A11" s="2" t="s">
        <v>24</v>
      </c>
      <c r="B11" s="72"/>
      <c r="C11" s="41" t="s">
        <v>18</v>
      </c>
      <c r="D11" s="42"/>
      <c r="E11" s="34"/>
      <c r="F11" s="43"/>
      <c r="G11" s="49" t="s">
        <v>140</v>
      </c>
      <c r="H11" s="49"/>
      <c r="I11" s="45">
        <v>96</v>
      </c>
      <c r="J11" s="1">
        <v>70</v>
      </c>
      <c r="K11" s="1"/>
      <c r="L11" s="1"/>
    </row>
    <row r="12" spans="1:12" x14ac:dyDescent="0.25">
      <c r="A12" s="2" t="s">
        <v>50</v>
      </c>
      <c r="B12" s="73"/>
      <c r="C12" s="41" t="s">
        <v>10</v>
      </c>
      <c r="D12" s="42">
        <v>1</v>
      </c>
      <c r="E12" s="34" t="s">
        <v>120</v>
      </c>
      <c r="F12" s="43"/>
      <c r="G12" s="49">
        <v>740399.53</v>
      </c>
      <c r="H12" s="50" t="s">
        <v>149</v>
      </c>
      <c r="I12" s="45">
        <v>96</v>
      </c>
      <c r="J12" s="1">
        <v>70</v>
      </c>
      <c r="K12" s="1"/>
      <c r="L12" s="1"/>
    </row>
    <row r="13" spans="1:12" ht="14.45" hidden="1" customHeight="1" x14ac:dyDescent="0.25">
      <c r="A13" s="2" t="s">
        <v>20</v>
      </c>
      <c r="B13" s="40"/>
      <c r="C13" s="31" t="s">
        <v>20</v>
      </c>
      <c r="D13" s="23"/>
      <c r="E13" s="34"/>
      <c r="F13" s="43"/>
      <c r="G13" s="49" t="s">
        <v>141</v>
      </c>
      <c r="H13" s="49"/>
      <c r="I13" s="45">
        <v>96</v>
      </c>
      <c r="J13" s="1">
        <v>70</v>
      </c>
      <c r="K13" s="1"/>
      <c r="L13" s="1"/>
    </row>
    <row r="14" spans="1:12" x14ac:dyDescent="0.25">
      <c r="A14" s="2" t="s">
        <v>52</v>
      </c>
      <c r="B14" s="71" t="s">
        <v>116</v>
      </c>
      <c r="C14" s="31" t="s">
        <v>23</v>
      </c>
      <c r="D14" s="23">
        <v>1</v>
      </c>
      <c r="E14" s="34" t="s">
        <v>121</v>
      </c>
      <c r="F14" s="43">
        <v>42</v>
      </c>
      <c r="G14" s="49">
        <v>186348</v>
      </c>
      <c r="H14" s="50" t="s">
        <v>150</v>
      </c>
      <c r="I14" s="45">
        <v>96</v>
      </c>
      <c r="J14" s="1">
        <v>70</v>
      </c>
      <c r="K14" s="1"/>
      <c r="L14" s="1"/>
    </row>
    <row r="15" spans="1:12" x14ac:dyDescent="0.25">
      <c r="A15" s="2" t="s">
        <v>25</v>
      </c>
      <c r="B15" s="72"/>
      <c r="C15" s="31" t="s">
        <v>25</v>
      </c>
      <c r="D15" s="23">
        <v>1</v>
      </c>
      <c r="E15" s="35" t="s">
        <v>133</v>
      </c>
      <c r="F15" s="43">
        <v>100</v>
      </c>
      <c r="G15" s="49">
        <v>787619.94</v>
      </c>
      <c r="H15" s="50" t="s">
        <v>151</v>
      </c>
      <c r="I15" s="45">
        <v>96</v>
      </c>
      <c r="J15" s="1">
        <v>70</v>
      </c>
      <c r="K15" s="1"/>
      <c r="L15" s="1"/>
    </row>
    <row r="16" spans="1:12" ht="15.75" customHeight="1" x14ac:dyDescent="0.25">
      <c r="A16" s="2" t="s">
        <v>52</v>
      </c>
      <c r="B16" s="72"/>
      <c r="C16" s="31" t="s">
        <v>26</v>
      </c>
      <c r="D16" s="23">
        <v>1</v>
      </c>
      <c r="E16" s="34" t="s">
        <v>122</v>
      </c>
      <c r="F16" s="43"/>
      <c r="G16" s="49">
        <v>206985.59</v>
      </c>
      <c r="H16" s="50" t="s">
        <v>152</v>
      </c>
      <c r="I16" s="45">
        <v>96</v>
      </c>
      <c r="J16" s="1">
        <v>70</v>
      </c>
      <c r="K16" s="1"/>
      <c r="L16" s="1"/>
    </row>
    <row r="17" spans="1:12" x14ac:dyDescent="0.25">
      <c r="A17" s="2" t="s">
        <v>25</v>
      </c>
      <c r="B17" s="72"/>
      <c r="C17" s="31" t="s">
        <v>27</v>
      </c>
      <c r="D17" s="23">
        <v>1</v>
      </c>
      <c r="E17" s="34" t="s">
        <v>123</v>
      </c>
      <c r="F17" s="43"/>
      <c r="G17" s="49">
        <v>795223.44</v>
      </c>
      <c r="H17" s="50" t="s">
        <v>153</v>
      </c>
      <c r="I17" s="45">
        <v>96</v>
      </c>
      <c r="J17" s="1">
        <v>70</v>
      </c>
      <c r="K17" s="1"/>
      <c r="L17" s="1"/>
    </row>
    <row r="18" spans="1:12" x14ac:dyDescent="0.25">
      <c r="A18" s="2" t="s">
        <v>20</v>
      </c>
      <c r="B18" s="72"/>
      <c r="C18" s="32" t="s">
        <v>20</v>
      </c>
      <c r="D18" s="25">
        <v>1</v>
      </c>
      <c r="E18" s="35" t="s">
        <v>124</v>
      </c>
      <c r="F18" s="44">
        <v>52</v>
      </c>
      <c r="G18" s="49">
        <v>773438</v>
      </c>
      <c r="H18" s="50" t="s">
        <v>143</v>
      </c>
      <c r="I18" s="45">
        <v>96</v>
      </c>
      <c r="J18" s="1">
        <v>70</v>
      </c>
      <c r="K18" s="1"/>
      <c r="L18" s="1"/>
    </row>
    <row r="19" spans="1:12" x14ac:dyDescent="0.25">
      <c r="A19" s="2" t="s">
        <v>52</v>
      </c>
      <c r="B19" s="72"/>
      <c r="C19" s="31" t="s">
        <v>31</v>
      </c>
      <c r="D19" s="23">
        <v>1</v>
      </c>
      <c r="E19" s="34" t="s">
        <v>125</v>
      </c>
      <c r="F19" s="43">
        <v>42</v>
      </c>
      <c r="G19" s="49">
        <v>202071.83</v>
      </c>
      <c r="H19" s="50" t="s">
        <v>154</v>
      </c>
      <c r="I19" s="45">
        <v>96</v>
      </c>
      <c r="J19" s="1">
        <v>70</v>
      </c>
      <c r="K19" s="1"/>
      <c r="L19" s="1"/>
    </row>
    <row r="20" spans="1:12" x14ac:dyDescent="0.25">
      <c r="A20" s="2" t="s">
        <v>25</v>
      </c>
      <c r="B20" s="73"/>
      <c r="C20" s="31" t="s">
        <v>24</v>
      </c>
      <c r="D20" s="23">
        <v>1</v>
      </c>
      <c r="E20" s="34" t="s">
        <v>126</v>
      </c>
      <c r="F20" s="43">
        <v>50</v>
      </c>
      <c r="G20" s="49">
        <v>199408.03</v>
      </c>
      <c r="H20" s="50" t="s">
        <v>155</v>
      </c>
      <c r="I20" s="45">
        <v>96</v>
      </c>
      <c r="J20" s="1">
        <v>70</v>
      </c>
      <c r="K20" s="1"/>
      <c r="L20" s="1"/>
    </row>
    <row r="21" spans="1:12" x14ac:dyDescent="0.25">
      <c r="A21" s="2" t="s">
        <v>52</v>
      </c>
      <c r="B21" s="71" t="s">
        <v>33</v>
      </c>
      <c r="C21" s="33" t="s">
        <v>117</v>
      </c>
      <c r="D21" s="24">
        <v>1</v>
      </c>
      <c r="E21" s="34" t="s">
        <v>127</v>
      </c>
      <c r="F21" s="43"/>
      <c r="G21" s="49">
        <v>224395.73</v>
      </c>
      <c r="H21" s="50" t="s">
        <v>156</v>
      </c>
      <c r="I21" s="45">
        <v>96</v>
      </c>
      <c r="J21" s="1">
        <v>70</v>
      </c>
      <c r="K21" s="1"/>
      <c r="L21" s="1"/>
    </row>
    <row r="22" spans="1:12" ht="14.45" hidden="1" customHeight="1" x14ac:dyDescent="0.25">
      <c r="A22" s="2" t="s">
        <v>53</v>
      </c>
      <c r="B22" s="72"/>
      <c r="C22" s="33" t="s">
        <v>29</v>
      </c>
      <c r="D22" s="24"/>
      <c r="E22" s="34"/>
      <c r="F22" s="43"/>
      <c r="G22" s="49" t="s">
        <v>142</v>
      </c>
      <c r="H22" s="51"/>
      <c r="I22" s="45">
        <v>96</v>
      </c>
      <c r="J22" s="1">
        <v>70</v>
      </c>
      <c r="K22" s="1"/>
      <c r="L22" s="1"/>
    </row>
    <row r="23" spans="1:12" x14ac:dyDescent="0.25">
      <c r="A23" s="2" t="s">
        <v>53</v>
      </c>
      <c r="B23" s="72"/>
      <c r="C23" s="33" t="s">
        <v>36</v>
      </c>
      <c r="D23" s="24">
        <v>1</v>
      </c>
      <c r="E23" s="34" t="s">
        <v>128</v>
      </c>
      <c r="F23" s="43"/>
      <c r="G23" s="52">
        <v>242293</v>
      </c>
      <c r="H23" s="50" t="s">
        <v>157</v>
      </c>
      <c r="I23" s="45">
        <v>96</v>
      </c>
      <c r="J23" s="1">
        <v>70</v>
      </c>
      <c r="K23" s="1"/>
      <c r="L23" s="1"/>
    </row>
    <row r="24" spans="1:12" x14ac:dyDescent="0.25">
      <c r="A24" s="2" t="s">
        <v>24</v>
      </c>
      <c r="B24" s="72"/>
      <c r="C24" s="33" t="s">
        <v>43</v>
      </c>
      <c r="D24" s="24">
        <v>1</v>
      </c>
      <c r="E24" s="34" t="s">
        <v>129</v>
      </c>
      <c r="F24" s="43">
        <v>22</v>
      </c>
      <c r="G24" s="53">
        <v>208407.09</v>
      </c>
      <c r="H24" s="50" t="s">
        <v>158</v>
      </c>
      <c r="I24" s="45">
        <v>96</v>
      </c>
      <c r="J24" s="1">
        <v>70</v>
      </c>
      <c r="K24" s="1"/>
      <c r="L24" s="1"/>
    </row>
    <row r="25" spans="1:12" x14ac:dyDescent="0.25">
      <c r="A25" s="2" t="s">
        <v>24</v>
      </c>
      <c r="B25" s="72"/>
      <c r="C25" s="33" t="s">
        <v>39</v>
      </c>
      <c r="D25" s="24">
        <v>1</v>
      </c>
      <c r="E25" s="35" t="s">
        <v>130</v>
      </c>
      <c r="F25" s="43"/>
      <c r="G25" s="52">
        <v>298641</v>
      </c>
      <c r="H25" s="50" t="s">
        <v>159</v>
      </c>
      <c r="I25" s="45">
        <v>96</v>
      </c>
      <c r="J25" s="1">
        <v>70</v>
      </c>
      <c r="K25" s="1"/>
      <c r="L25" s="1"/>
    </row>
    <row r="26" spans="1:12" x14ac:dyDescent="0.25">
      <c r="A26" s="2" t="s">
        <v>35</v>
      </c>
      <c r="B26" s="72"/>
      <c r="C26" s="33" t="s">
        <v>40</v>
      </c>
      <c r="D26" s="24">
        <v>1</v>
      </c>
      <c r="E26" s="35" t="s">
        <v>131</v>
      </c>
      <c r="F26" s="43"/>
      <c r="G26" s="52">
        <v>322669</v>
      </c>
      <c r="H26" s="50" t="s">
        <v>160</v>
      </c>
      <c r="I26" s="45">
        <v>96</v>
      </c>
      <c r="J26" s="1">
        <v>70</v>
      </c>
      <c r="K26" s="1"/>
      <c r="L26" s="1"/>
    </row>
    <row r="27" spans="1:12" x14ac:dyDescent="0.25">
      <c r="A27" s="2" t="s">
        <v>36</v>
      </c>
      <c r="B27" s="73"/>
      <c r="C27" s="33" t="s">
        <v>44</v>
      </c>
      <c r="D27" s="24">
        <v>1</v>
      </c>
      <c r="E27" s="35" t="s">
        <v>132</v>
      </c>
      <c r="F27" s="43"/>
      <c r="G27" s="52">
        <v>249934.82</v>
      </c>
      <c r="H27" s="50" t="s">
        <v>161</v>
      </c>
      <c r="I27" s="45">
        <v>96</v>
      </c>
      <c r="J27" s="1">
        <v>70</v>
      </c>
      <c r="K27" s="1"/>
      <c r="L27" s="1"/>
    </row>
    <row r="28" spans="1:12" x14ac:dyDescent="0.25">
      <c r="A28" s="68" t="s">
        <v>103</v>
      </c>
      <c r="B28" s="68"/>
      <c r="C28" s="29" t="s">
        <v>162</v>
      </c>
      <c r="D28" s="36">
        <f>SUM(D3:D27)</f>
        <v>20</v>
      </c>
      <c r="E28" s="28"/>
      <c r="F28" s="28">
        <f>SUM(F3:F27)</f>
        <v>388</v>
      </c>
      <c r="G28" s="28"/>
      <c r="H28" s="28"/>
      <c r="I28" s="28">
        <v>1920</v>
      </c>
      <c r="J28" s="28">
        <v>1400</v>
      </c>
      <c r="K28" s="1"/>
      <c r="L28" s="1"/>
    </row>
  </sheetData>
  <mergeCells count="7">
    <mergeCell ref="G1:H1"/>
    <mergeCell ref="I1:J1"/>
    <mergeCell ref="A28:B28"/>
    <mergeCell ref="B3:B6"/>
    <mergeCell ref="B8:B12"/>
    <mergeCell ref="B14:B20"/>
    <mergeCell ref="B21:B27"/>
  </mergeCells>
  <pageMargins left="0.7" right="0.7" top="0.75" bottom="0.75" header="0.3" footer="0.3"/>
  <pageSetup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B1" zoomScale="160" zoomScaleNormal="160" workbookViewId="0">
      <selection activeCell="D1" sqref="D1:G1048576"/>
    </sheetView>
  </sheetViews>
  <sheetFormatPr baseColWidth="10" defaultRowHeight="15" x14ac:dyDescent="0.25"/>
  <cols>
    <col min="1" max="1" width="15.7109375" customWidth="1"/>
    <col min="2" max="2" width="18" customWidth="1"/>
    <col min="3" max="3" width="19.5703125" customWidth="1"/>
    <col min="4" max="4" width="16.7109375" customWidth="1"/>
    <col min="5" max="5" width="14.28515625" hidden="1" customWidth="1"/>
    <col min="6" max="6" width="0" hidden="1" customWidth="1"/>
    <col min="7" max="7" width="18.42578125" customWidth="1"/>
    <col min="8" max="8" width="13.42578125" customWidth="1"/>
    <col min="9" max="9" width="14.42578125" customWidth="1"/>
    <col min="11" max="11" width="18.42578125" customWidth="1"/>
  </cols>
  <sheetData>
    <row r="1" spans="1:11" ht="45" customHeight="1" x14ac:dyDescent="0.25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0" t="s">
        <v>5</v>
      </c>
      <c r="G1" s="19" t="s">
        <v>46</v>
      </c>
      <c r="H1" s="74" t="s">
        <v>48</v>
      </c>
      <c r="I1" s="74"/>
      <c r="J1" s="20" t="s">
        <v>6</v>
      </c>
      <c r="K1" s="20" t="s">
        <v>7</v>
      </c>
    </row>
    <row r="2" spans="1:11" ht="45" customHeight="1" x14ac:dyDescent="0.25">
      <c r="A2" s="20"/>
      <c r="B2" s="20"/>
      <c r="C2" s="20"/>
      <c r="D2" s="20" t="s">
        <v>46</v>
      </c>
      <c r="E2" s="20" t="s">
        <v>101</v>
      </c>
      <c r="F2" s="20" t="s">
        <v>104</v>
      </c>
      <c r="G2" s="19" t="s">
        <v>59</v>
      </c>
      <c r="H2" s="19" t="s">
        <v>102</v>
      </c>
      <c r="I2" s="19" t="s">
        <v>100</v>
      </c>
      <c r="J2" s="20"/>
      <c r="K2" s="20"/>
    </row>
    <row r="3" spans="1:11" x14ac:dyDescent="0.25">
      <c r="A3" s="2" t="s">
        <v>50</v>
      </c>
      <c r="B3" s="70" t="s">
        <v>8</v>
      </c>
      <c r="C3" s="22" t="s">
        <v>10</v>
      </c>
      <c r="D3" s="1" t="s">
        <v>88</v>
      </c>
      <c r="E3" s="1">
        <v>56</v>
      </c>
      <c r="F3" s="1">
        <v>70</v>
      </c>
      <c r="G3" s="1">
        <v>1705.36</v>
      </c>
      <c r="H3" s="1">
        <v>747736.88</v>
      </c>
      <c r="I3" s="1">
        <v>8140722.0099999998</v>
      </c>
      <c r="J3" s="1">
        <v>30</v>
      </c>
      <c r="K3" s="1"/>
    </row>
    <row r="4" spans="1:11" x14ac:dyDescent="0.25">
      <c r="A4" s="2" t="s">
        <v>50</v>
      </c>
      <c r="B4" s="70"/>
      <c r="C4" s="22" t="s">
        <v>12</v>
      </c>
      <c r="D4" s="1" t="s">
        <v>89</v>
      </c>
      <c r="E4" s="1">
        <v>23</v>
      </c>
      <c r="F4" s="1">
        <v>42</v>
      </c>
      <c r="G4" s="1">
        <v>2081.33</v>
      </c>
      <c r="H4" s="1">
        <v>754564.82</v>
      </c>
      <c r="I4" s="1">
        <v>8091798.2199999997</v>
      </c>
      <c r="J4" s="1"/>
      <c r="K4" s="1" t="s">
        <v>97</v>
      </c>
    </row>
    <row r="5" spans="1:11" x14ac:dyDescent="0.25">
      <c r="A5" s="2" t="s">
        <v>51</v>
      </c>
      <c r="B5" s="70"/>
      <c r="C5" s="22" t="s">
        <v>14</v>
      </c>
      <c r="D5" s="1" t="s">
        <v>90</v>
      </c>
      <c r="E5" s="1">
        <v>54</v>
      </c>
      <c r="F5" s="1">
        <v>20</v>
      </c>
      <c r="G5" s="1">
        <v>2409.56</v>
      </c>
      <c r="H5" s="1">
        <v>762373</v>
      </c>
      <c r="I5" s="1">
        <v>8011624</v>
      </c>
      <c r="J5" s="1">
        <v>30</v>
      </c>
      <c r="K5" s="1"/>
    </row>
    <row r="6" spans="1:11" x14ac:dyDescent="0.25">
      <c r="A6" s="2" t="s">
        <v>16</v>
      </c>
      <c r="B6" s="70"/>
      <c r="C6" s="22" t="s">
        <v>15</v>
      </c>
      <c r="D6" s="1" t="s">
        <v>91</v>
      </c>
      <c r="E6" s="1">
        <v>18</v>
      </c>
      <c r="F6" s="1">
        <v>5</v>
      </c>
      <c r="G6" s="1">
        <v>1400</v>
      </c>
      <c r="H6" s="1">
        <v>756772</v>
      </c>
      <c r="I6" s="1">
        <v>8037038</v>
      </c>
      <c r="J6" s="1">
        <v>30</v>
      </c>
      <c r="K6" s="1" t="s">
        <v>97</v>
      </c>
    </row>
    <row r="7" spans="1:11" x14ac:dyDescent="0.25">
      <c r="A7" s="2" t="s">
        <v>16</v>
      </c>
      <c r="B7" s="70"/>
      <c r="C7" s="22" t="s">
        <v>16</v>
      </c>
      <c r="D7" s="1" t="s">
        <v>92</v>
      </c>
      <c r="E7" s="1">
        <v>18</v>
      </c>
      <c r="F7" s="1">
        <v>2.02</v>
      </c>
      <c r="G7" s="1">
        <v>1030</v>
      </c>
      <c r="H7" s="1">
        <v>742741.89</v>
      </c>
      <c r="I7" s="1">
        <v>8065178.7400000002</v>
      </c>
      <c r="J7" s="1">
        <v>30</v>
      </c>
      <c r="K7" s="1"/>
    </row>
    <row r="8" spans="1:11" x14ac:dyDescent="0.25">
      <c r="A8" s="2" t="s">
        <v>25</v>
      </c>
      <c r="B8" s="37" t="s">
        <v>17</v>
      </c>
      <c r="C8" s="25" t="s">
        <v>25</v>
      </c>
      <c r="D8" s="1" t="s">
        <v>93</v>
      </c>
      <c r="E8" s="15">
        <v>40</v>
      </c>
      <c r="F8" s="15">
        <v>45</v>
      </c>
      <c r="G8" s="1">
        <v>1700</v>
      </c>
      <c r="H8" s="1">
        <v>791600</v>
      </c>
      <c r="I8" s="1">
        <v>8031041</v>
      </c>
      <c r="J8" s="1">
        <v>30</v>
      </c>
      <c r="K8" s="1"/>
    </row>
    <row r="9" spans="1:11" x14ac:dyDescent="0.25">
      <c r="A9" s="2" t="s">
        <v>36</v>
      </c>
      <c r="B9" s="70" t="s">
        <v>33</v>
      </c>
      <c r="C9" s="24" t="s">
        <v>34</v>
      </c>
      <c r="D9" s="1" t="s">
        <v>86</v>
      </c>
      <c r="E9" s="1">
        <v>19</v>
      </c>
      <c r="F9" s="1">
        <v>5</v>
      </c>
      <c r="G9" s="1">
        <v>1600</v>
      </c>
      <c r="H9" s="1">
        <v>229920</v>
      </c>
      <c r="I9" s="1">
        <v>8021892</v>
      </c>
      <c r="J9" s="1">
        <v>30</v>
      </c>
      <c r="K9" s="1" t="s">
        <v>98</v>
      </c>
    </row>
    <row r="10" spans="1:11" x14ac:dyDescent="0.25">
      <c r="A10" s="2" t="s">
        <v>54</v>
      </c>
      <c r="B10" s="70"/>
      <c r="C10" s="24" t="s">
        <v>40</v>
      </c>
      <c r="D10" s="1" t="s">
        <v>94</v>
      </c>
      <c r="E10" s="1">
        <v>10</v>
      </c>
      <c r="F10" s="1">
        <v>3</v>
      </c>
      <c r="G10" s="1">
        <v>1969.75</v>
      </c>
      <c r="H10" s="1">
        <v>337517</v>
      </c>
      <c r="I10" s="1">
        <v>7979926</v>
      </c>
      <c r="J10" s="8">
        <v>30</v>
      </c>
      <c r="K10" s="1" t="s">
        <v>97</v>
      </c>
    </row>
    <row r="11" spans="1:11" x14ac:dyDescent="0.25">
      <c r="A11" s="2" t="s">
        <v>36</v>
      </c>
      <c r="B11" s="70"/>
      <c r="C11" s="24" t="s">
        <v>43</v>
      </c>
      <c r="D11" s="1" t="s">
        <v>108</v>
      </c>
      <c r="E11" s="1">
        <v>30</v>
      </c>
      <c r="F11" s="1">
        <v>1.05</v>
      </c>
      <c r="G11" s="1">
        <v>1800</v>
      </c>
      <c r="H11" s="1">
        <v>220184</v>
      </c>
      <c r="I11" s="1">
        <v>8016768</v>
      </c>
      <c r="J11" s="1">
        <v>30</v>
      </c>
      <c r="K11" s="1"/>
    </row>
    <row r="12" spans="1:11" ht="45.75" customHeight="1" x14ac:dyDescent="0.25">
      <c r="A12" s="2" t="s">
        <v>36</v>
      </c>
      <c r="B12" s="70"/>
      <c r="C12" s="24" t="s">
        <v>44</v>
      </c>
      <c r="D12" s="7" t="s">
        <v>95</v>
      </c>
      <c r="E12" s="1">
        <v>22</v>
      </c>
      <c r="F12" s="1">
        <v>22</v>
      </c>
      <c r="G12" s="1">
        <v>1600</v>
      </c>
      <c r="H12" s="1">
        <v>247686</v>
      </c>
      <c r="I12" s="1">
        <v>7981270</v>
      </c>
      <c r="J12" s="1">
        <v>30</v>
      </c>
      <c r="K12" s="1" t="s">
        <v>97</v>
      </c>
    </row>
    <row r="13" spans="1:11" x14ac:dyDescent="0.25">
      <c r="A13" s="2" t="s">
        <v>45</v>
      </c>
      <c r="B13" s="3" t="s">
        <v>49</v>
      </c>
      <c r="C13" s="26" t="s">
        <v>45</v>
      </c>
      <c r="D13" s="1" t="s">
        <v>96</v>
      </c>
      <c r="E13" s="1">
        <v>80</v>
      </c>
      <c r="F13" s="1">
        <v>5</v>
      </c>
      <c r="G13" s="1">
        <v>750</v>
      </c>
      <c r="H13" s="1">
        <v>787440</v>
      </c>
      <c r="I13" s="1">
        <v>8083427</v>
      </c>
      <c r="J13" s="1">
        <v>30</v>
      </c>
      <c r="K13" s="1" t="s">
        <v>97</v>
      </c>
    </row>
    <row r="14" spans="1:11" x14ac:dyDescent="0.25">
      <c r="A14" s="9" t="s">
        <v>103</v>
      </c>
      <c r="B14" s="27" t="s">
        <v>103</v>
      </c>
      <c r="C14" s="28" t="s">
        <v>111</v>
      </c>
      <c r="D14" s="28">
        <v>11</v>
      </c>
      <c r="E14" s="28">
        <f>SUM(E3:E13)</f>
        <v>370</v>
      </c>
      <c r="F14" s="28">
        <f>SUM(F3:F13)</f>
        <v>220.07000000000002</v>
      </c>
      <c r="G14" s="28">
        <f>SUM(G3:G13)</f>
        <v>18046</v>
      </c>
    </row>
  </sheetData>
  <mergeCells count="3">
    <mergeCell ref="B9:B12"/>
    <mergeCell ref="H1:I1"/>
    <mergeCell ref="B3:B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view="pageBreakPreview" topLeftCell="A22" zoomScale="96" zoomScaleNormal="96" zoomScaleSheetLayoutView="96" workbookViewId="0">
      <selection activeCell="E18" sqref="E18"/>
    </sheetView>
  </sheetViews>
  <sheetFormatPr baseColWidth="10" defaultRowHeight="15" x14ac:dyDescent="0.25"/>
  <cols>
    <col min="1" max="1" width="14" style="54" customWidth="1"/>
    <col min="2" max="2" width="19.5703125" style="54" customWidth="1"/>
    <col min="3" max="3" width="20" style="54" customWidth="1"/>
    <col min="4" max="4" width="21" style="54" customWidth="1"/>
    <col min="5" max="5" width="19.140625" style="54" customWidth="1"/>
    <col min="6" max="16384" width="11.42578125" style="54"/>
  </cols>
  <sheetData>
    <row r="1" spans="1:7" ht="27" customHeight="1" x14ac:dyDescent="0.25">
      <c r="A1" s="75" t="s">
        <v>163</v>
      </c>
      <c r="B1" s="75"/>
      <c r="C1" s="75"/>
      <c r="D1" s="75"/>
      <c r="E1" s="75"/>
    </row>
    <row r="2" spans="1:7" ht="30" customHeight="1" x14ac:dyDescent="0.25">
      <c r="A2" s="38" t="s">
        <v>164</v>
      </c>
      <c r="B2" s="38" t="s">
        <v>165</v>
      </c>
      <c r="C2" s="55" t="s">
        <v>166</v>
      </c>
      <c r="D2" s="56" t="s">
        <v>167</v>
      </c>
      <c r="E2" s="57" t="s">
        <v>168</v>
      </c>
      <c r="F2" s="64" t="s">
        <v>171</v>
      </c>
      <c r="G2" s="63" t="s">
        <v>101</v>
      </c>
    </row>
    <row r="3" spans="1:7" ht="21" customHeight="1" x14ac:dyDescent="0.25">
      <c r="A3" s="76" t="s">
        <v>8</v>
      </c>
      <c r="B3" s="58" t="s">
        <v>9</v>
      </c>
      <c r="C3" s="2">
        <v>1</v>
      </c>
      <c r="D3" s="2">
        <v>1</v>
      </c>
      <c r="E3" s="2"/>
      <c r="F3" s="48">
        <f>TANQUES!G3</f>
        <v>1.2</v>
      </c>
      <c r="G3" s="48"/>
    </row>
    <row r="4" spans="1:7" ht="21" customHeight="1" x14ac:dyDescent="0.25">
      <c r="A4" s="76"/>
      <c r="B4" s="58" t="s">
        <v>10</v>
      </c>
      <c r="C4" s="39">
        <v>1</v>
      </c>
      <c r="D4" s="39">
        <v>1</v>
      </c>
      <c r="E4" s="2">
        <v>1</v>
      </c>
      <c r="F4" s="48">
        <f>TANQUES!G4+GEOMEMBRANA!F3</f>
        <v>71.25</v>
      </c>
      <c r="G4" s="48"/>
    </row>
    <row r="5" spans="1:7" ht="21" customHeight="1" x14ac:dyDescent="0.25">
      <c r="A5" s="76"/>
      <c r="B5" s="58" t="s">
        <v>11</v>
      </c>
      <c r="C5" s="2">
        <v>1</v>
      </c>
      <c r="D5" s="2">
        <v>1</v>
      </c>
      <c r="E5" s="2"/>
      <c r="F5" s="48">
        <f>TANQUES!G5</f>
        <v>1.5</v>
      </c>
      <c r="G5" s="48"/>
    </row>
    <row r="6" spans="1:7" ht="21" customHeight="1" x14ac:dyDescent="0.25">
      <c r="A6" s="76"/>
      <c r="B6" s="58" t="s">
        <v>12</v>
      </c>
      <c r="C6" s="39">
        <v>1</v>
      </c>
      <c r="D6" s="39">
        <v>1</v>
      </c>
      <c r="E6" s="2">
        <v>1</v>
      </c>
      <c r="F6" s="48">
        <f>TANQUES!G6+GEOMEMBRANA!F4</f>
        <v>43.8</v>
      </c>
      <c r="G6" s="48"/>
    </row>
    <row r="7" spans="1:7" ht="21" customHeight="1" x14ac:dyDescent="0.25">
      <c r="A7" s="76"/>
      <c r="B7" s="58" t="s">
        <v>14</v>
      </c>
      <c r="C7" s="2">
        <v>1</v>
      </c>
      <c r="D7" s="2">
        <v>1</v>
      </c>
      <c r="E7" s="2">
        <v>1</v>
      </c>
      <c r="F7" s="48">
        <f>TANQUES!G8+GEOMEMBRANA!F5</f>
        <v>21.5</v>
      </c>
      <c r="G7" s="48"/>
    </row>
    <row r="8" spans="1:7" ht="21" customHeight="1" x14ac:dyDescent="0.25">
      <c r="A8" s="76"/>
      <c r="B8" s="58" t="s">
        <v>15</v>
      </c>
      <c r="C8" s="2"/>
      <c r="D8" s="2">
        <v>1</v>
      </c>
      <c r="E8" s="2">
        <v>1</v>
      </c>
      <c r="F8" s="48">
        <f>GEOMEMBRANA!F6</f>
        <v>5</v>
      </c>
      <c r="G8" s="48"/>
    </row>
    <row r="9" spans="1:7" ht="21" customHeight="1" x14ac:dyDescent="0.25">
      <c r="A9" s="76"/>
      <c r="B9" s="58" t="s">
        <v>16</v>
      </c>
      <c r="C9" s="2">
        <v>1</v>
      </c>
      <c r="D9" s="2">
        <v>1</v>
      </c>
      <c r="E9" s="2">
        <v>1</v>
      </c>
      <c r="F9" s="48">
        <f>TANQUES!G10+GEOMEMBRANA!F7</f>
        <v>3.42</v>
      </c>
      <c r="G9" s="48"/>
    </row>
    <row r="10" spans="1:7" ht="21" customHeight="1" x14ac:dyDescent="0.25">
      <c r="A10" s="76" t="s">
        <v>17</v>
      </c>
      <c r="B10" s="24" t="s">
        <v>19</v>
      </c>
      <c r="C10" s="2">
        <v>1</v>
      </c>
      <c r="D10" s="2"/>
      <c r="E10" s="2"/>
      <c r="F10" s="48">
        <f>TANQUES!G12</f>
        <v>2</v>
      </c>
      <c r="G10" s="48"/>
    </row>
    <row r="11" spans="1:7" ht="21" customHeight="1" x14ac:dyDescent="0.25">
      <c r="A11" s="76"/>
      <c r="B11" s="24" t="s">
        <v>20</v>
      </c>
      <c r="C11" s="2"/>
      <c r="D11" s="2">
        <v>1</v>
      </c>
      <c r="E11" s="2"/>
      <c r="F11" s="48"/>
      <c r="G11" s="48"/>
    </row>
    <row r="12" spans="1:7" ht="21" customHeight="1" x14ac:dyDescent="0.25">
      <c r="A12" s="76"/>
      <c r="B12" s="24" t="s">
        <v>21</v>
      </c>
      <c r="C12" s="2">
        <v>1</v>
      </c>
      <c r="D12" s="2"/>
      <c r="E12" s="2"/>
      <c r="F12" s="48">
        <f>TANQUES!G14</f>
        <v>2</v>
      </c>
      <c r="G12" s="48"/>
    </row>
    <row r="13" spans="1:7" ht="21" customHeight="1" x14ac:dyDescent="0.25">
      <c r="A13" s="76"/>
      <c r="B13" s="24" t="s">
        <v>22</v>
      </c>
      <c r="C13" s="39">
        <v>1</v>
      </c>
      <c r="D13" s="39"/>
      <c r="E13" s="2"/>
      <c r="F13" s="48">
        <f>TANQUES!G15</f>
        <v>4.5999999999999996</v>
      </c>
      <c r="G13" s="48"/>
    </row>
    <row r="14" spans="1:7" ht="21" customHeight="1" x14ac:dyDescent="0.25">
      <c r="A14" s="76"/>
      <c r="B14" s="24" t="s">
        <v>23</v>
      </c>
      <c r="C14" s="2">
        <v>1</v>
      </c>
      <c r="D14" s="2">
        <v>1</v>
      </c>
      <c r="E14" s="2"/>
      <c r="F14" s="48"/>
      <c r="G14" s="48"/>
    </row>
    <row r="15" spans="1:7" ht="21" customHeight="1" x14ac:dyDescent="0.25">
      <c r="A15" s="76"/>
      <c r="B15" s="24" t="s">
        <v>24</v>
      </c>
      <c r="C15" s="2">
        <v>1</v>
      </c>
      <c r="D15" s="2">
        <v>1</v>
      </c>
      <c r="E15" s="2"/>
      <c r="F15" s="48">
        <f>TANQUES!G17</f>
        <v>1</v>
      </c>
      <c r="G15" s="48"/>
    </row>
    <row r="16" spans="1:7" ht="21" customHeight="1" x14ac:dyDescent="0.25">
      <c r="A16" s="76"/>
      <c r="B16" s="24" t="s">
        <v>25</v>
      </c>
      <c r="C16" s="39">
        <v>2</v>
      </c>
      <c r="D16" s="39">
        <v>1</v>
      </c>
      <c r="E16" s="2">
        <v>1</v>
      </c>
      <c r="F16" s="48">
        <f>TANQUES!G18+GEOMEMBRANA!F8</f>
        <v>48.5</v>
      </c>
      <c r="G16" s="48"/>
    </row>
    <row r="17" spans="1:7" ht="21" customHeight="1" x14ac:dyDescent="0.25">
      <c r="A17" s="76"/>
      <c r="B17" s="24" t="s">
        <v>26</v>
      </c>
      <c r="C17" s="2">
        <v>1</v>
      </c>
      <c r="D17" s="2">
        <v>1</v>
      </c>
      <c r="E17" s="2"/>
      <c r="F17" s="48">
        <f>TANQUES!G19</f>
        <v>10</v>
      </c>
      <c r="G17" s="48"/>
    </row>
    <row r="18" spans="1:7" ht="21" customHeight="1" x14ac:dyDescent="0.25">
      <c r="A18" s="76"/>
      <c r="B18" s="24" t="s">
        <v>27</v>
      </c>
      <c r="C18" s="2">
        <v>1</v>
      </c>
      <c r="D18" s="2">
        <v>1</v>
      </c>
      <c r="E18" s="2"/>
      <c r="F18" s="48">
        <f>TANQUES!G20</f>
        <v>2</v>
      </c>
      <c r="G18" s="48"/>
    </row>
    <row r="19" spans="1:7" ht="21" customHeight="1" x14ac:dyDescent="0.25">
      <c r="A19" s="76"/>
      <c r="B19" s="24" t="s">
        <v>28</v>
      </c>
      <c r="C19" s="2">
        <v>1</v>
      </c>
      <c r="D19" s="2"/>
      <c r="E19" s="2"/>
      <c r="F19" s="48">
        <f>TANQUES!G21</f>
        <v>2</v>
      </c>
      <c r="G19" s="48"/>
    </row>
    <row r="20" spans="1:7" ht="21" customHeight="1" x14ac:dyDescent="0.25">
      <c r="A20" s="76"/>
      <c r="B20" s="24" t="s">
        <v>30</v>
      </c>
      <c r="C20" s="2">
        <v>1</v>
      </c>
      <c r="D20" s="2"/>
      <c r="E20" s="2"/>
      <c r="F20" s="48">
        <f>TANQUES!G23</f>
        <v>2</v>
      </c>
      <c r="G20" s="48"/>
    </row>
    <row r="21" spans="1:7" ht="21" customHeight="1" x14ac:dyDescent="0.25">
      <c r="A21" s="76"/>
      <c r="B21" s="24" t="s">
        <v>31</v>
      </c>
      <c r="C21" s="2">
        <v>1</v>
      </c>
      <c r="D21" s="2">
        <v>1</v>
      </c>
      <c r="E21" s="2"/>
      <c r="F21" s="48">
        <f>TANQUES!G24</f>
        <v>0.6</v>
      </c>
      <c r="G21" s="48"/>
    </row>
    <row r="22" spans="1:7" ht="21" customHeight="1" x14ac:dyDescent="0.25">
      <c r="A22" s="76"/>
      <c r="B22" s="24" t="s">
        <v>32</v>
      </c>
      <c r="C22" s="39">
        <v>1</v>
      </c>
      <c r="D22" s="39"/>
      <c r="E22" s="2"/>
      <c r="F22" s="48">
        <f>TANQUES!G25</f>
        <v>1.2</v>
      </c>
      <c r="G22" s="48"/>
    </row>
    <row r="23" spans="1:7" ht="21" customHeight="1" x14ac:dyDescent="0.25">
      <c r="A23" s="76" t="s">
        <v>33</v>
      </c>
      <c r="B23" s="23" t="s">
        <v>34</v>
      </c>
      <c r="C23" s="2"/>
      <c r="D23" s="2"/>
      <c r="E23" s="2">
        <v>1</v>
      </c>
      <c r="F23" s="48">
        <f>GEOMEMBRANA!F9</f>
        <v>5</v>
      </c>
      <c r="G23" s="48"/>
    </row>
    <row r="24" spans="1:7" ht="21" customHeight="1" x14ac:dyDescent="0.25">
      <c r="A24" s="76"/>
      <c r="B24" s="23" t="s">
        <v>35</v>
      </c>
      <c r="C24" s="39">
        <v>1</v>
      </c>
      <c r="D24" s="39"/>
      <c r="E24" s="2"/>
      <c r="F24" s="48">
        <f>TANQUES!G26</f>
        <v>6</v>
      </c>
      <c r="G24" s="48"/>
    </row>
    <row r="25" spans="1:7" ht="21" customHeight="1" x14ac:dyDescent="0.25">
      <c r="A25" s="76"/>
      <c r="B25" s="23" t="s">
        <v>36</v>
      </c>
      <c r="C25" s="39">
        <v>1</v>
      </c>
      <c r="D25" s="39">
        <v>1</v>
      </c>
      <c r="E25" s="2"/>
      <c r="F25" s="48">
        <f>TANQUES!G27</f>
        <v>0.5</v>
      </c>
      <c r="G25" s="48"/>
    </row>
    <row r="26" spans="1:7" ht="21" customHeight="1" x14ac:dyDescent="0.25">
      <c r="A26" s="76"/>
      <c r="B26" s="23" t="s">
        <v>37</v>
      </c>
      <c r="C26" s="39">
        <v>1</v>
      </c>
      <c r="D26" s="39"/>
      <c r="E26" s="2"/>
      <c r="F26" s="48">
        <f>TANQUES!G28</f>
        <v>0.5</v>
      </c>
      <c r="G26" s="48"/>
    </row>
    <row r="27" spans="1:7" ht="21" customHeight="1" x14ac:dyDescent="0.25">
      <c r="A27" s="76"/>
      <c r="B27" s="23" t="s">
        <v>38</v>
      </c>
      <c r="C27" s="39">
        <v>1</v>
      </c>
      <c r="D27" s="39"/>
      <c r="E27" s="2"/>
      <c r="F27" s="48">
        <f>TANQUES!G29</f>
        <v>0</v>
      </c>
      <c r="G27" s="48"/>
    </row>
    <row r="28" spans="1:7" ht="21" customHeight="1" x14ac:dyDescent="0.25">
      <c r="A28" s="76"/>
      <c r="B28" s="23" t="s">
        <v>39</v>
      </c>
      <c r="C28" s="2">
        <v>1</v>
      </c>
      <c r="D28" s="2">
        <v>1</v>
      </c>
      <c r="E28" s="2"/>
      <c r="F28" s="48">
        <f>TANQUES!G30</f>
        <v>1.2</v>
      </c>
      <c r="G28" s="48"/>
    </row>
    <row r="29" spans="1:7" ht="21" customHeight="1" x14ac:dyDescent="0.25">
      <c r="A29" s="76"/>
      <c r="B29" s="23" t="s">
        <v>40</v>
      </c>
      <c r="C29" s="2">
        <v>1</v>
      </c>
      <c r="D29" s="2">
        <v>1</v>
      </c>
      <c r="E29" s="2">
        <v>1</v>
      </c>
      <c r="F29" s="48">
        <f>TANQUES!G31</f>
        <v>0.5</v>
      </c>
      <c r="G29" s="48"/>
    </row>
    <row r="30" spans="1:7" ht="21" customHeight="1" x14ac:dyDescent="0.25">
      <c r="A30" s="76"/>
      <c r="B30" s="23" t="s">
        <v>41</v>
      </c>
      <c r="C30" s="2">
        <v>1</v>
      </c>
      <c r="D30" s="2"/>
      <c r="E30" s="2"/>
      <c r="F30" s="48">
        <f>TANQUES!G32</f>
        <v>0.5</v>
      </c>
      <c r="G30" s="48"/>
    </row>
    <row r="31" spans="1:7" ht="21" customHeight="1" x14ac:dyDescent="0.25">
      <c r="A31" s="76"/>
      <c r="B31" s="23" t="s">
        <v>42</v>
      </c>
      <c r="C31" s="2">
        <v>1</v>
      </c>
      <c r="D31" s="2">
        <v>1</v>
      </c>
      <c r="E31" s="2"/>
      <c r="F31" s="48">
        <f>TANQUES!G33</f>
        <v>2</v>
      </c>
      <c r="G31" s="48"/>
    </row>
    <row r="32" spans="1:7" ht="21" customHeight="1" x14ac:dyDescent="0.25">
      <c r="A32" s="76"/>
      <c r="B32" s="23" t="s">
        <v>43</v>
      </c>
      <c r="C32" s="2">
        <v>1</v>
      </c>
      <c r="D32" s="2">
        <v>1</v>
      </c>
      <c r="E32" s="2">
        <v>1</v>
      </c>
      <c r="F32" s="48">
        <f>TANQUES!G34</f>
        <v>1</v>
      </c>
      <c r="G32" s="48"/>
    </row>
    <row r="33" spans="1:7" ht="21" customHeight="1" x14ac:dyDescent="0.25">
      <c r="A33" s="76"/>
      <c r="B33" s="23" t="s">
        <v>44</v>
      </c>
      <c r="C33" s="39">
        <v>1</v>
      </c>
      <c r="D33" s="39">
        <v>1</v>
      </c>
      <c r="E33" s="2">
        <v>1</v>
      </c>
      <c r="F33" s="48">
        <f>TANQUES!G35</f>
        <v>1.4</v>
      </c>
      <c r="G33" s="48"/>
    </row>
    <row r="34" spans="1:7" ht="92.25" customHeight="1" x14ac:dyDescent="0.25">
      <c r="A34" s="59" t="s">
        <v>169</v>
      </c>
      <c r="B34" s="22" t="s">
        <v>170</v>
      </c>
      <c r="C34" s="39"/>
      <c r="D34" s="39"/>
      <c r="E34" s="2">
        <v>1</v>
      </c>
      <c r="F34" s="48">
        <f>TANQUES!G36</f>
        <v>53.150000000000006</v>
      </c>
      <c r="G34" s="48"/>
    </row>
    <row r="35" spans="1:7" ht="21" customHeight="1" x14ac:dyDescent="0.25">
      <c r="A35" s="60"/>
      <c r="B35" s="60">
        <v>32</v>
      </c>
      <c r="C35" s="61">
        <f>SUM(C3:C33)</f>
        <v>29</v>
      </c>
      <c r="D35" s="61">
        <f>SUM(D3:D33)</f>
        <v>20</v>
      </c>
      <c r="E35" s="62">
        <f>SUM(E3:E34)</f>
        <v>11</v>
      </c>
      <c r="F35" s="65">
        <f>SUM(F3:F34)</f>
        <v>295.31999999999994</v>
      </c>
      <c r="G35" s="65"/>
    </row>
  </sheetData>
  <mergeCells count="4">
    <mergeCell ref="A1:E1"/>
    <mergeCell ref="A3:A9"/>
    <mergeCell ref="A10:A22"/>
    <mergeCell ref="A23:A33"/>
  </mergeCells>
  <pageMargins left="0.70866141732283472" right="0.70866141732283472" top="0.74803149606299213" bottom="0.74803149606299213" header="0.31496062992125984" footer="0.31496062992125984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TANQUES</vt:lpstr>
      <vt:lpstr>UGR</vt:lpstr>
      <vt:lpstr>GEOMEMBRANA</vt:lpstr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DGA-SB PC</dc:creator>
  <cp:lastModifiedBy>DGA-SB PC</cp:lastModifiedBy>
  <cp:lastPrinted>2026-07-30T17:05:14Z</cp:lastPrinted>
  <dcterms:created xsi:type="dcterms:W3CDTF">2026-07-14T18:46:40Z</dcterms:created>
  <dcterms:modified xsi:type="dcterms:W3CDTF">2026-09-11T19:09:56Z</dcterms:modified>
</cp:coreProperties>
</file>